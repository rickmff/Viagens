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vmlDrawing1.vml" ContentType="application/vnd.openxmlformats-officedocument.vmlDrawing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o" sheetId="1" state="visible" r:id="rId3"/>
    <sheet name="Parâmetros" sheetId="2" state="visible" r:id="rId4"/>
    <sheet name="Itens" sheetId="3" state="visible" r:id="rId5"/>
    <sheet name="Roteiro" sheetId="4" state="visible" r:id="rId6"/>
    <sheet name="Reservas" sheetId="5" state="visible" r:id="rId7"/>
    <sheet name="Real" sheetId="6" state="visible" r:id="rId8"/>
    <sheet name="Cortes" sheetId="7" state="visible" r:id="rId9"/>
  </sheets>
  <definedNames>
    <definedName function="false" hidden="true" localSheetId="2" name="_xlnm._FilterDatabase" vbProcedure="false">Itens!$A$1:$X$28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J8" authorId="0">
      <text>
        <r>
          <rPr>
            <sz val="10"/>
            <rFont val="Arial"/>
            <family val="2"/>
          </rPr>
          <t xml:space="preserve">Estimativa da categoria que não está detalhada em itens (vem de orcamento.categorias.previsto no trip.json). Ao detalhar um item novo, reduza este valor para não contar duas vezes.</t>
        </r>
      </text>
    </comment>
    <comment ref="J17" authorId="0">
      <text>
        <r>
          <rPr>
            <sz val="10"/>
            <rFont val="Arial"/>
            <family val="2"/>
          </rPr>
          <t xml:space="preserve">Estimativa da categoria que não está detalhada em itens (vem de orcamento.categorias.previsto no trip.json). Ao detalhar um item novo, reduza este valor para não contar duas vezes.</t>
        </r>
      </text>
    </comment>
    <comment ref="J27" authorId="0">
      <text>
        <r>
          <rPr>
            <sz val="10"/>
            <rFont val="Arial"/>
            <family val="2"/>
          </rPr>
          <t xml:space="preserve">Estimativa da categoria que não está detalhada em itens (vem de orcamento.categorias.previsto no trip.json). Ao detalhar um item novo, reduza este valor para não contar duas vezes.</t>
        </r>
      </text>
    </comment>
    <comment ref="J28" authorId="0">
      <text>
        <r>
          <rPr>
            <sz val="10"/>
            <rFont val="Arial"/>
            <family val="2"/>
          </rPr>
          <t xml:space="preserve">Estimativa da categoria que não está detalhada em itens (vem de orcamento.categorias.previsto no trip.json). Ao detalhar um item novo, reduza este valor para não contar duas vezes.</t>
        </r>
      </text>
    </comment>
  </commentList>
</comments>
</file>

<file path=xl/sharedStrings.xml><?xml version="1.0" encoding="utf-8"?>
<sst xmlns="http://schemas.openxmlformats.org/spreadsheetml/2006/main" count="599" uniqueCount="349">
  <si>
    <t xml:space="preserve">Paris &amp; Disneyland — Outubro 2026</t>
  </si>
  <si>
    <t xml:space="preserve">7 → 11 de outubro · casal · Louvre, Orsay, bouillons, e dois dias de Halloween na Disney.</t>
  </si>
  <si>
    <t xml:space="preserve">Período</t>
  </si>
  <si>
    <t xml:space="preserve">Pessoas · noites · dias</t>
  </si>
  <si>
    <t xml:space="preserve">Categoria</t>
  </si>
  <si>
    <t xml:space="preserve">Tudo econômico</t>
  </si>
  <si>
    <t xml:space="preserve">Plano</t>
  </si>
  <si>
    <t xml:space="preserve">Escolhido ★</t>
  </si>
  <si>
    <t xml:space="preserve">Tudo upgrade</t>
  </si>
  <si>
    <t xml:space="preserve">Real</t>
  </si>
  <si>
    <t xml:space="preserve">Real − Escolhido</t>
  </si>
  <si>
    <t xml:space="preserve">Intocável</t>
  </si>
  <si>
    <t xml:space="preserve">Total previsto</t>
  </si>
  <si>
    <t xml:space="preserve">Reserva para imprevistos</t>
  </si>
  <si>
    <t xml:space="preserve">Total com reserva</t>
  </si>
  <si>
    <t xml:space="preserve">Por pessoa</t>
  </si>
  <si>
    <t xml:space="preserve">Por dia (grupo)</t>
  </si>
  <si>
    <t xml:space="preserve">Por pessoa por dia</t>
  </si>
  <si>
    <t xml:space="preserve">Gasto em solo (sem voos)</t>
  </si>
  <si>
    <t xml:space="preserve">Alimentação / gasto em solo</t>
  </si>
  <si>
    <t xml:space="preserve">meta 15–20%</t>
  </si>
  <si>
    <t xml:space="preserve">Teto do grupo</t>
  </si>
  <si>
    <t xml:space="preserve">Folga contra o teto</t>
  </si>
  <si>
    <t xml:space="preserve">Uso do teto</t>
  </si>
  <si>
    <t xml:space="preserve">Veredito</t>
  </si>
  <si>
    <t xml:space="preserve">Itens em upgrade / econômico</t>
  </si>
  <si>
    <t xml:space="preserve">Como ler</t>
  </si>
  <si>
    <t xml:space="preserve">Escolhido ★ é o seu cenário: soma a opção marcada em cada linha da aba Itens (coluna Opção ▼). Tudo econômico e Tudo upgrade são os dois extremos.</t>
  </si>
  <si>
    <t xml:space="preserve">Plano = o roteiro como foi pesquisado. Real soma o que você lançar na aba Real durante a viagem; Real − Escolhido mostra onde estourou.</t>
  </si>
  <si>
    <t xml:space="preserve">Linhas rosa são intocáveis: a razão de ser da viagem. Cortar ali é planejar outra viagem.</t>
  </si>
  <si>
    <t xml:space="preserve">Nada aqui é digitado: tudo vem de Itens, Parâmetros e Real. Para mudar um número, mude lá.</t>
  </si>
  <si>
    <t xml:space="preserve">Premissas da viagem. Azul = entrada; amarelo = o que mais mexe no total.</t>
  </si>
  <si>
    <t xml:space="preserve">Slug</t>
  </si>
  <si>
    <t xml:space="preserve">paris-outubro-2026</t>
  </si>
  <si>
    <t xml:space="preserve">Início</t>
  </si>
  <si>
    <t xml:space="preserve">Fim</t>
  </si>
  <si>
    <t xml:space="preserve">Noites</t>
  </si>
  <si>
    <t xml:space="preserve">fórmula</t>
  </si>
  <si>
    <t xml:space="preserve">Dias de viagem</t>
  </si>
  <si>
    <t xml:space="preserve">Pessoas</t>
  </si>
  <si>
    <t xml:space="preserve">Moeda de casa</t>
  </si>
  <si>
    <t xml:space="preserve">EUR</t>
  </si>
  <si>
    <t xml:space="preserve">Teto informado</t>
  </si>
  <si>
    <t xml:space="preserve">Teto é por</t>
  </si>
  <si>
    <t xml:space="preserve">total</t>
  </si>
  <si>
    <t xml:space="preserve">total | pessoa</t>
  </si>
  <si>
    <t xml:space="preserve">Reserva para imprevistos (%)</t>
  </si>
  <si>
    <t xml:space="preserve">sobre o total escolhido</t>
  </si>
  <si>
    <t xml:space="preserve">Margem do cartão fora do euro</t>
  </si>
  <si>
    <t xml:space="preserve">0% num Revolut/Wise; 1–3% em banco tradicional</t>
  </si>
  <si>
    <t xml:space="preserve">Opção padrão dos itens</t>
  </si>
  <si>
    <t xml:space="preserve">plano</t>
  </si>
  <si>
    <t xml:space="preserve">a coluna Opção da aba Itens decide item a item</t>
  </si>
  <si>
    <t xml:space="preserve">Pesquisa de</t>
  </si>
  <si>
    <t xml:space="preserve">Status</t>
  </si>
  <si>
    <t xml:space="preserve">planejando</t>
  </si>
  <si>
    <t xml:space="preserve">Câmbio (EUR por 1 unidade da moeda)</t>
  </si>
  <si>
    <t xml:space="preserve">Moeda</t>
  </si>
  <si>
    <t xml:space="preserve">EUR por 1</t>
  </si>
  <si>
    <t xml:space="preserve">Data</t>
  </si>
  <si>
    <t xml:space="preserve">Fonte</t>
  </si>
  <si>
    <t xml:space="preserve">moeda de casa</t>
  </si>
  <si>
    <t xml:space="preserve">Categorias</t>
  </si>
  <si>
    <t xml:space="preserve">Fator econômico: preço que sobra na opção econômica quando o item não tem uma explícita (0,8 = corta 20%). Intocável força 1.</t>
  </si>
  <si>
    <t xml:space="preserve">ID</t>
  </si>
  <si>
    <t xml:space="preserve">Nome</t>
  </si>
  <si>
    <t xml:space="preserve">Fator econômico</t>
  </si>
  <si>
    <t xml:space="preserve">De onde veio o número</t>
  </si>
  <si>
    <t xml:space="preserve">voos</t>
  </si>
  <si>
    <t xml:space="preserve">Voos</t>
  </si>
  <si>
    <t xml:space="preserve">não</t>
  </si>
  <si>
    <t xml:space="preserve">Porto ⇄ Orly na Transavia para 2, só bagagem de mão (≈ €100 pp comprando agora; média de outubro €114). Econômico: promoção a €80 pp. Beauvais não entra: o ônibus come a diferença.</t>
  </si>
  <si>
    <t xml:space="preserve">hospedagem</t>
  </si>
  <si>
    <t xml:space="preserve">Hospedagem</t>
  </si>
  <si>
    <t xml:space="preserve">3 noites no ibis Bastille Opéra (≈ €130) + 1 noite no B&amp;B parceiro da Disney (≈ €120). Econômico: ibis a €110 e B&amp;B a €90.</t>
  </si>
  <si>
    <t xml:space="preserve">taxa-turismo</t>
  </si>
  <si>
    <t xml:space="preserve">Taxa de turismo</t>
  </si>
  <si>
    <t xml:space="preserve">Paris €3,25 pp/noite × 3 + Magny-le-Hongre ≈ €1,50 × 1, para 2.</t>
  </si>
  <si>
    <t xml:space="preserve">alimentacao</t>
  </si>
  <si>
    <t xml:space="preserve">Alimentação</t>
  </si>
  <si>
    <t xml:space="preserve">sim</t>
  </si>
  <si>
    <t xml:space="preserve">€35 pp nos dias de Paris (bouillon, padaria, mercado), €45 pp nos dias de Disney. Comer bem é o motivo — não corta.</t>
  </si>
  <si>
    <t xml:space="preserve">transporte-local</t>
  </si>
  <si>
    <t xml:space="preserve">Transporte local</t>
  </si>
  <si>
    <t xml:space="preserve">Orly €14 × 2 trechos × 2 = €56, RER A Disney €2,55 × 2 × 2 = €10, ≈ 12 bilhetes de metrô × €2,55 × 2 = €62. Econômico: 8 bilhetes de metrô.</t>
  </si>
  <si>
    <t xml:space="preserve">atracoes</t>
  </si>
  <si>
    <t xml:space="preserve">Atrações</t>
  </si>
  <si>
    <t xml:space="preserve">Disney 2 dias/2 parques ≈ €154 pp (faixa "low", por data), Louvre €22 (residente), Orsay €16, Orangerie €12,50, Sainte-Chapelle €13, Eiffel escada €14,80 — para 2. Econômico: Disney 1 dia/2 parques + 1 dia/1 parque.</t>
  </si>
  <si>
    <t xml:space="preserve">extras</t>
  </si>
  <si>
    <t xml:space="preserve">Extras e compras</t>
  </si>
  <si>
    <t xml:space="preserve">Teto assumido — a Disney puxa. Diga o seu.</t>
  </si>
  <si>
    <t xml:space="preserve">Item</t>
  </si>
  <si>
    <t xml:space="preserve">Quando</t>
  </si>
  <si>
    <t xml:space="preserve">Qtd</t>
  </si>
  <si>
    <t xml:space="preserve">Unidade</t>
  </si>
  <si>
    <t xml:space="preserve">Opção ▼</t>
  </si>
  <si>
    <t xml:space="preserve">Preço econômico</t>
  </si>
  <si>
    <t xml:space="preserve">Preço plano</t>
  </si>
  <si>
    <t xml:space="preserve">Preço upgrade</t>
  </si>
  <si>
    <t xml:space="preserve">Preço escolhido</t>
  </si>
  <si>
    <t xml:space="preserve">× (pessoas/noites)</t>
  </si>
  <si>
    <t xml:space="preserve">Câmbio + margem</t>
  </si>
  <si>
    <t xml:space="preserve">Total econômico (EUR)</t>
  </si>
  <si>
    <t xml:space="preserve">Total plano (EUR)</t>
  </si>
  <si>
    <t xml:space="preserve">Total upgrade (EUR)</t>
  </si>
  <si>
    <t xml:space="preserve">Total escolhido (EUR)</t>
  </si>
  <si>
    <t xml:space="preserve">Dia</t>
  </si>
  <si>
    <t xml:space="preserve">Reservar / comprar</t>
  </si>
  <si>
    <t xml:space="preserve">O que é o econômico</t>
  </si>
  <si>
    <t xml:space="preserve">O que é o upgrade</t>
  </si>
  <si>
    <t xml:space="preserve">Fonte / observação</t>
  </si>
  <si>
    <t xml:space="preserve">voo:ida</t>
  </si>
  <si>
    <t xml:space="preserve">Voo OPO → ORY (Transavia)</t>
  </si>
  <si>
    <t xml:space="preserve">pessoa</t>
  </si>
  <si>
    <t xml:space="preserve">transavia.com</t>
  </si>
  <si>
    <t xml:space="preserve">Ryanair para Beauvais (≈ €31 o trecho) + ônibus €17,90: mais barato no papel, 1h15 a mais por trecho</t>
  </si>
  <si>
    <t xml:space="preserve">TAP para Orly, horário melhor e bagagem despachada (≈ €82 o trecho)</t>
  </si>
  <si>
    <t xml:space="preserve">status: cotado</t>
  </si>
  <si>
    <t xml:space="preserve">voo:volta</t>
  </si>
  <si>
    <t xml:space="preserve">Voo ORY → OPO (Transavia)</t>
  </si>
  <si>
    <t xml:space="preserve">hosp:hosp-paris</t>
  </si>
  <si>
    <t xml:space="preserve">ibis Paris Bastille Opéra 11ème</t>
  </si>
  <si>
    <t xml:space="preserve">noite</t>
  </si>
  <si>
    <t xml:space="preserve">all.accor.com</t>
  </si>
  <si>
    <t xml:space="preserve">ibis budget / 2★ no 11º–12º a ≈ €105 a noite (3 noites)</t>
  </si>
  <si>
    <t xml:space="preserve">Villa Beaumarchais 4★ no Marais a ≈ €175 a noite (3 noites); €94 "desde" no eDreams, confira o total no checkout</t>
  </si>
  <si>
    <t xml:space="preserve">Três noites a ≈ €130 (a quinta é na Disney). Bastille a 7 min, RER A na Gare de Lyon direto para Chessy, Marais a pé, bouillons a dez minutos.</t>
  </si>
  <si>
    <t xml:space="preserve">hosp:hosp-disney</t>
  </si>
  <si>
    <t xml:space="preserve">B&amp;B Hôtel près de Disneyland Paris (Magny-le-Hongre)</t>
  </si>
  <si>
    <t xml:space="preserve">hotel-bb.com</t>
  </si>
  <si>
    <t xml:space="preserve">B&amp;B Marne-la-Vallée Val d'Europe (Serris), sem ônibus para o parque: RER 1 estação + a pé</t>
  </si>
  <si>
    <t xml:space="preserve">Hotel Disney (Santa Fe / Cheyenne) com Extra Magic Time às 8h30 — pacote exige 2 noites desde 31/3/2026</t>
  </si>
  <si>
    <t xml:space="preserve">Parceiro oficial: ônibus grátis a cada 20 min, café incluído, metade do preço de um hotel Disney. O que se perde é a Extra Magic Time das 8h30.</t>
  </si>
  <si>
    <t xml:space="preserve">taxa:hosp-paris</t>
  </si>
  <si>
    <t xml:space="preserve">Taxa de turismo — Paris</t>
  </si>
  <si>
    <t xml:space="preserve">pessoa-noite</t>
  </si>
  <si>
    <t xml:space="preserve">— (preço plano × fator da categoria)</t>
  </si>
  <si>
    <t xml:space="preserve">— (sem upgrade pesquisado)</t>
  </si>
  <si>
    <t xml:space="preserve">cobrada no check-in, por pessoa por noite</t>
  </si>
  <si>
    <t xml:space="preserve">taxa:hosp-disney</t>
  </si>
  <si>
    <t xml:space="preserve">Taxa de turismo — Disneyland Paris</t>
  </si>
  <si>
    <t xml:space="preserve">est:taxa-turismo</t>
  </si>
  <si>
    <t xml:space="preserve">Estimativa restante — Taxa de turismo</t>
  </si>
  <si>
    <t xml:space="preserve">dia1:p2</t>
  </si>
  <si>
    <t xml:space="preserve">Almoço de padaria no Marais: fórmula sanduíche + doce</t>
  </si>
  <si>
    <t xml:space="preserve">padaria / mercado</t>
  </si>
  <si>
    <t xml:space="preserve">restaurante com reserva e vinho</t>
  </si>
  <si>
    <t xml:space="preserve">dia1:p6</t>
  </si>
  <si>
    <t xml:space="preserve">Bouillon Chartier: menu completo por menos de €20</t>
  </si>
  <si>
    <t xml:space="preserve">bouillon-chartier.com</t>
  </si>
  <si>
    <t xml:space="preserve">fórmula de padaria</t>
  </si>
  <si>
    <t xml:space="preserve">bistrô no Marais com vinho</t>
  </si>
  <si>
    <t xml:space="preserve">Sem reserva, fila anda rápido. Sopa de cebola, steak-frites, crème caramel.</t>
  </si>
  <si>
    <t xml:space="preserve">dia2:d3</t>
  </si>
  <si>
    <t xml:space="preserve">Almoço no parque</t>
  </si>
  <si>
    <t xml:space="preserve">dia3:d10</t>
  </si>
  <si>
    <t xml:space="preserve">Jantar leve perto do hotel</t>
  </si>
  <si>
    <t xml:space="preserve">dia3:d7</t>
  </si>
  <si>
    <t xml:space="preserve">dia4:p12</t>
  </si>
  <si>
    <t xml:space="preserve">Jantar em bistrô do 7e ou Bouillon Pigalle</t>
  </si>
  <si>
    <t xml:space="preserve">dia4:p8</t>
  </si>
  <si>
    <t xml:space="preserve">Piquenique nas Tulherias ou padaria da Rue de Rivoli</t>
  </si>
  <si>
    <t xml:space="preserve">dia5:p14</t>
  </si>
  <si>
    <t xml:space="preserve">Marché d'Aligre: queijo, ostras e um copo no balcão</t>
  </si>
  <si>
    <t xml:space="preserve">marchedaligre.fr</t>
  </si>
  <si>
    <t xml:space="preserve">sanduíche de padaria</t>
  </si>
  <si>
    <t xml:space="preserve">ostras e vinho no mercado</t>
  </si>
  <si>
    <t xml:space="preserve">O mercado mais barato de Paris, e é domingo de manhã que ele está inteiro. Fecha às 13h30.</t>
  </si>
  <si>
    <t xml:space="preserve">est:alimentacao</t>
  </si>
  <si>
    <t xml:space="preserve">Estimativa restante — Alimentação</t>
  </si>
  <si>
    <t xml:space="preserve">transp:metro</t>
  </si>
  <si>
    <t xml:space="preserve">Bilhetes de metrô, ≈ 12 viagens</t>
  </si>
  <si>
    <t xml:space="preserve">bonjour-ratp.fr</t>
  </si>
  <si>
    <t xml:space="preserve">andar mais e usar 8 bilhetes em vez de 12</t>
  </si>
  <si>
    <t xml:space="preserve">Navigo Jour €12,30 nos 3 dias de Paris (só compensa com 5+ viagens no dia)</t>
  </si>
  <si>
    <t xml:space="preserve">Navigo Semaine só vale de segunda a domingo — não serve para quarta a domingo. Passe de dia (€12,30) só compensa com 5+ viagens.</t>
  </si>
  <si>
    <t xml:space="preserve">transp:orly</t>
  </si>
  <si>
    <t xml:space="preserve">Orly ⇄ Paris pelo metrô 14 (bilhete aeroporto €14)</t>
  </si>
  <si>
    <t xml:space="preserve">—</t>
  </si>
  <si>
    <t xml:space="preserve">táxi tarifa fixa Orly ⇄ margem direita €44 por trecho, dividido por 2</t>
  </si>
  <si>
    <t xml:space="preserve">25 min até Châtelet. O bilhete de €2,55 não vale para aeroporto.</t>
  </si>
  <si>
    <t xml:space="preserve">transp:rer-disney</t>
  </si>
  <si>
    <t xml:space="preserve">RER A Paris ⇄ Marne-la-Vallée–Chessy</t>
  </si>
  <si>
    <t xml:space="preserve">Bilhete único de €2,55 vale até a Disney desde 2025. 40 min de Nation; a estação sai na porta do parque.</t>
  </si>
  <si>
    <t xml:space="preserve">dia1:p3</t>
  </si>
  <si>
    <t xml:space="preserve">Sainte-Chapelle — com hora marcada</t>
  </si>
  <si>
    <t xml:space="preserve">sainte-chapelle.fr</t>
  </si>
  <si>
    <t xml:space="preserve">só o exterior + Notre-Dame (grátis)</t>
  </si>
  <si>
    <t xml:space="preserve">bilhete combinado Sainte-Chapelle + Conciergerie</t>
  </si>
  <si>
    <t xml:space="preserve">Os vitrais pedem sol: se a tarde estiver cinza, troque pela manhã de domingo.</t>
  </si>
  <si>
    <t xml:space="preserve">dia2:d2</t>
  </si>
  <si>
    <t xml:space="preserve">Disneyland Park — abertura às 9h30</t>
  </si>
  <si>
    <t xml:space="preserve">disneylandparis.com</t>
  </si>
  <si>
    <t xml:space="preserve">faixa "eco" — trocar para 30/9–1/10 se o preço por data for menor</t>
  </si>
  <si>
    <t xml:space="preserve">+ Disney Premier Access One (3 atrações) ≈ €45 pp</t>
  </si>
  <si>
    <t xml:space="preserve">Ingresso de 2 dias, com data. Big Thunder Mountain e Phantom Manor primeiro; Halloween é no Frontierland.</t>
  </si>
  <si>
    <t xml:space="preserve">dia4:p11</t>
  </si>
  <si>
    <t xml:space="preserve">Torre Eiffel pela escada, até o 2º andar</t>
  </si>
  <si>
    <t xml:space="preserve">toureiffel.paris</t>
  </si>
  <si>
    <t xml:space="preserve">ver de baixo, do Trocadéro, na hora da cintilação</t>
  </si>
  <si>
    <t xml:space="preserve">elevador até o topo</t>
  </si>
  <si>
    <t xml:space="preserve">674 degraus, 20 minutos. Pôr do sol ≈ 19h15. Depois de escurecer a torre cintila 5 minutos a cada hora cheia — do Trocadéro é a melhor vista</t>
  </si>
  <si>
    <t xml:space="preserve">dia4:p7</t>
  </si>
  <si>
    <t xml:space="preserve">Louvre — entrada 9h, tarifa residente EEE</t>
  </si>
  <si>
    <t xml:space="preserve">louvre.fr</t>
  </si>
  <si>
    <t xml:space="preserve">primeira sexta do mês 18h–21h é grátis (não cai na viagem)</t>
  </si>
  <si>
    <t xml:space="preserve">visita guiada oficial 1h30</t>
  </si>
  <si>
    <t xml:space="preserve">Entre pela Porte des Lions se estiver aberta: fila menor. Ala Denon primeiro (Vitória de Samotrácia, Gioconda), depois Sully.</t>
  </si>
  <si>
    <t xml:space="preserve">dia4:p9</t>
  </si>
  <si>
    <t xml:space="preserve">Orangerie: as Ninfeias de Monet</t>
  </si>
  <si>
    <t xml:space="preserve">musee-orangerie.fr</t>
  </si>
  <si>
    <t xml:space="preserve">bilhete combinado Orsay + Orangerie</t>
  </si>
  <si>
    <t xml:space="preserve">Pequeno; uma hora e meia sobra. Fecha terça, como o Louvre.</t>
  </si>
  <si>
    <t xml:space="preserve">dia5:p13</t>
  </si>
  <si>
    <t xml:space="preserve">Musée d'Orsay — entrada 9h30</t>
  </si>
  <si>
    <t xml:space="preserve">musee-orsay.fr</t>
  </si>
  <si>
    <t xml:space="preserve">primeiro domingo do mês grátis (só na janela 30/9–4/10)</t>
  </si>
  <si>
    <t xml:space="preserve">Impressionistas no 5º andar; suba direto e desça depois. O relógio da fachada dá a foto.</t>
  </si>
  <si>
    <t xml:space="preserve">est:atracoes</t>
  </si>
  <si>
    <t xml:space="preserve">Estimativa restante — Atrações</t>
  </si>
  <si>
    <t xml:space="preserve">est:extras</t>
  </si>
  <si>
    <t xml:space="preserve">Estimativa restante — Extras e compras</t>
  </si>
  <si>
    <t xml:space="preserve">Como usar</t>
  </si>
  <si>
    <t xml:space="preserve">Opção ▼ (coluna H, fundo creme) escolhe o que entra no total: econômico, plano ou upgrade. É o único lugar que você precisa mexer para montar o seu cenário.</t>
  </si>
  <si>
    <t xml:space="preserve">As três colunas de preço são por unidade (por pessoa, por noite ou total, conforme a Unidade). Azul = pesquisado; preto = derivado do plano.</t>
  </si>
  <si>
    <t xml:space="preserve">Preço econômico sem número explícito = preço do plano × fator da categoria (aba Parâmetros). Preço upgrade sem número = igual ao plano.</t>
  </si>
  <si>
    <t xml:space="preserve">Reservar / comprar (coluna U) abre o site oficial ou o comparador. Compre pelo link; a taxa de serviço de agregador entra no último passo.</t>
  </si>
  <si>
    <t xml:space="preserve">Linhas em itálico são estimativas da categoria: ao detalhar um item novo, reduza a estimativa para não contar duas vezes.</t>
  </si>
  <si>
    <t xml:space="preserve">Para acrescentar um item: copie uma linha inteira (as fórmulas de L a S vêm junto) e troque ID, categoria, preços e link.</t>
  </si>
  <si>
    <t xml:space="preserve">Roteiro dia a dia</t>
  </si>
  <si>
    <t xml:space="preserve">Custo de cada bloco vem da aba Itens (opção escolhida). Marque Feito durante a viagem.</t>
  </si>
  <si>
    <t xml:space="preserve">Semana</t>
  </si>
  <si>
    <t xml:space="preserve">Hora</t>
  </si>
  <si>
    <t xml:space="preserve">Bloco</t>
  </si>
  <si>
    <t xml:space="preserve">Tipo</t>
  </si>
  <si>
    <t xml:space="preserve">Custo escolhido (EUR)</t>
  </si>
  <si>
    <t xml:space="preserve">Opção</t>
  </si>
  <si>
    <t xml:space="preserve">Reservar antes</t>
  </si>
  <si>
    <t xml:space="preserve">Feito</t>
  </si>
  <si>
    <t xml:space="preserve">Link</t>
  </si>
  <si>
    <t xml:space="preserve">Notas / plano B</t>
  </si>
  <si>
    <t xml:space="preserve">quarta</t>
  </si>
  <si>
    <t xml:space="preserve">Chegada e a Île de la Cité</t>
  </si>
  <si>
    <t xml:space="preserve">Meio dia. Nada com hora antes das 15h; a ilha e o Marais a pé, e o primeiro bouillon.</t>
  </si>
  <si>
    <t xml:space="preserve">10:40</t>
  </si>
  <si>
    <t xml:space="preserve">Orly → Châtelet pelo metrô 14</t>
  </si>
  <si>
    <t xml:space="preserve">deslocamento</t>
  </si>
  <si>
    <t xml:space="preserve">12:30</t>
  </si>
  <si>
    <t xml:space="preserve">refeicao</t>
  </si>
  <si>
    <t xml:space="preserve">15:00</t>
  </si>
  <si>
    <t xml:space="preserve">atracao</t>
  </si>
  <si>
    <t xml:space="preserve">16:30</t>
  </si>
  <si>
    <t xml:space="preserve">Notre-Dame por dentro (grátis) e a Île Saint-Louis</t>
  </si>
  <si>
    <t xml:space="preserve">Fila sem reserva anda em 20 min fora do fim de semana.</t>
  </si>
  <si>
    <t xml:space="preserve">18:00</t>
  </si>
  <si>
    <t xml:space="preserve">Place des Vosges e o Marais ao anoitecer</t>
  </si>
  <si>
    <t xml:space="preserve">livre</t>
  </si>
  <si>
    <t xml:space="preserve">19:30</t>
  </si>
  <si>
    <t xml:space="preserve">Custo do dia 1</t>
  </si>
  <si>
    <t xml:space="preserve">quinta</t>
  </si>
  <si>
    <t xml:space="preserve">Disney, dia 1</t>
  </si>
  <si>
    <t xml:space="preserve">Quinta-feira, antes da Toussaint: o parque abre às 9h30 e fecha às 22h, com o Halloween Festival incluído. Chegue na abertura e abra a fila virtual das atrações grandes no app assim que entrar.</t>
  </si>
  <si>
    <t xml:space="preserve">08:00</t>
  </si>
  <si>
    <t xml:space="preserve">RER A Nation → Marne-la-Vallée–Chessy</t>
  </si>
  <si>
    <t xml:space="preserve">Bilhete de €2,55 no app ou na máquina. Sente na frente do trem: a saída em Chessy é do lado do parque.</t>
  </si>
  <si>
    <t xml:space="preserve">09:30</t>
  </si>
  <si>
    <t xml:space="preserve">13:00</t>
  </si>
  <si>
    <t xml:space="preserve">17:00</t>
  </si>
  <si>
    <t xml:space="preserve">Check-in no B&amp;B parceiro (ônibus grátis) e um banho</t>
  </si>
  <si>
    <t xml:space="preserve">19:00</t>
  </si>
  <si>
    <t xml:space="preserve">Volta ao parque: desfile e show de Halloween</t>
  </si>
  <si>
    <t xml:space="preserve">evento</t>
  </si>
  <si>
    <t xml:space="preserve">Os shows noturnos são o motivo de dormir aqui. Jantar leve no parque.</t>
  </si>
  <si>
    <t xml:space="preserve">Custo do dia 2</t>
  </si>
  <si>
    <t xml:space="preserve">sexta</t>
  </si>
  <si>
    <t xml:space="preserve">Disney, dia 2</t>
  </si>
  <si>
    <t xml:space="preserve">O segundo parque é menor: meio dia basta. Volte ao primeiro para o que ficou de fora, e pegue o RER antes do jantar.</t>
  </si>
  <si>
    <t xml:space="preserve">Walt Disney Studios Park</t>
  </si>
  <si>
    <t xml:space="preserve">Aberto até 20h. Ratatouille e Avengers Campus na primeira hora.</t>
  </si>
  <si>
    <t xml:space="preserve">16:00</t>
  </si>
  <si>
    <t xml:space="preserve">Disneyland Park de novo: o que faltou, e a Main Street ao entardecer</t>
  </si>
  <si>
    <t xml:space="preserve">RER A Chessy → Nation</t>
  </si>
  <si>
    <t xml:space="preserve">20:30</t>
  </si>
  <si>
    <t xml:space="preserve">Custo do dia 3</t>
  </si>
  <si>
    <t xml:space="preserve">sábado</t>
  </si>
  <si>
    <t xml:space="preserve">Louvre e a torre cintilando</t>
  </si>
  <si>
    <t xml:space="preserve">Sábado é dia de Louvre porque terça ele fecha. Três horas com hora marcada, o Jardim das Tulherias no meio, e a torre no fim do dia.</t>
  </si>
  <si>
    <t xml:space="preserve">09:00</t>
  </si>
  <si>
    <t xml:space="preserve">Entre pela Porte des Lions se estiver aberta: fila menor. Ala Denon primeiro (Vitória de Samotrácia, Gioconda), depois Sully.  ·  Plano B: Chovendo, o Louvre é o melhor lugar de Paris — o plano B é ficar mais.</t>
  </si>
  <si>
    <t xml:space="preserve">Champ de Mars e o Trocadéro ao entardecer</t>
  </si>
  <si>
    <t xml:space="preserve">674 degraus, 20 minutos. Pôr do sol ≈ 19h15. Depois de escurecer a torre cintila 5 minutos a cada hora cheia — do Trocadéro é a melhor vista.  ·  Plano B: Sem ingresso, o Trocadéro às 20h e às 21h dá a cintilação de graça.</t>
  </si>
  <si>
    <t xml:space="preserve">21:00</t>
  </si>
  <si>
    <t xml:space="preserve">Custo do dia 4</t>
  </si>
  <si>
    <t xml:space="preserve">domingo</t>
  </si>
  <si>
    <t xml:space="preserve">Orsay, mercado e volta</t>
  </si>
  <si>
    <t xml:space="preserve">Domingo é Orsay porque segunda ele fecha. Mercado de domingo na Aligre, uma volta no Luxembourg, e Orly com folga.</t>
  </si>
  <si>
    <t xml:space="preserve">14:30</t>
  </si>
  <si>
    <t xml:space="preserve">Jardin du Luxembourg ou Rue Mouffetard, conforme a energia</t>
  </si>
  <si>
    <t xml:space="preserve">15:45</t>
  </si>
  <si>
    <t xml:space="preserve">Hotel → Orly pelo metrô 14</t>
  </si>
  <si>
    <t xml:space="preserve">Sair 2h45 antes do voo; a 14 leva 25 min de Châtelet.</t>
  </si>
  <si>
    <t xml:space="preserve">18:30</t>
  </si>
  <si>
    <t xml:space="preserve">Voo Orly → Porto</t>
  </si>
  <si>
    <t xml:space="preserve">Custo do dia 5</t>
  </si>
  <si>
    <t xml:space="preserve">Total dos blocos com custo</t>
  </si>
  <si>
    <t xml:space="preserve">Progresso</t>
  </si>
  <si>
    <t xml:space="preserve">O quê</t>
  </si>
  <si>
    <t xml:space="preserve">Urgência</t>
  </si>
  <si>
    <t xml:space="preserve">Prazo</t>
  </si>
  <si>
    <t xml:space="preserve">Dias restantes</t>
  </si>
  <si>
    <t xml:space="preserve">Valor pago (EUR)</t>
  </si>
  <si>
    <t xml:space="preserve">Observação</t>
  </si>
  <si>
    <t xml:space="preserve">Voos Porto ⇄ Paris Orly (TAP / Transavia / easyJet), 7 e 11/10</t>
  </si>
  <si>
    <t xml:space="preserve">Agora</t>
  </si>
  <si>
    <t xml:space="preserve">pendente</t>
  </si>
  <si>
    <t xml:space="preserve">Compare no Kayak ou Google Flights e compre no site da companhia. Transavia é a mais barata para Orly (ida e volta desde ≈ €66–90 pp; 49 voos/semana); TAP desde ≈ €92. Ryanair para Beauvais sai ≈ €125 de média e o ônibus custa €72 para os dois: não compensa. Só bagagem de mão.</t>
  </si>
  <si>
    <t xml:space="preserve">Torre Eiffel pela escada, sáb 10/10 ao entardecer</t>
  </si>
  <si>
    <t xml:space="preserve">Escada vende 40 dias antes — para 10/10 abriu em 31/8. Se esgotou, a bilheteria da escada no local costuma ter vaga fora do pôr do sol.</t>
  </si>
  <si>
    <t xml:space="preserve">Ingressos Disney 2 dias / 2 parques, qui 8 e sex 9/10</t>
  </si>
  <si>
    <t xml:space="preserve">Preço por data: dia útil antes da Toussaint fica na faixa "low" (≈ €154 pp o de 2 dias/2 parques). Compre com data no site oficial. Não compre pacote hotel + ingresso: desde 31/3/2026 os pacotes exigem 2 noites.</t>
  </si>
  <si>
    <t xml:space="preserve">B&amp;B Hôtel près de Disneyland Paris, 1 noite (8 → 9/10)</t>
  </si>
  <si>
    <t xml:space="preserve">Parceiro oficial em Magny-le-Hongre: ônibus grátis a cada 20 min das 8h à meia-noite, café incluído, ≈ €90–140 a noite. Reserve o quarto avulso (Booking ou site do B&amp;B) — o pacote da Disney exige 2 noites. Cuidado: o "B&amp;B Marne-la-Vallée Val d'Europe" em Serris é outro hotel, sem ônibus para o parque.</t>
  </si>
  <si>
    <t xml:space="preserve">ibis Paris Bastille Opéra 11ème, 3 noites (7, 9 e 10/10)</t>
  </si>
  <si>
    <t xml:space="preserve">≈ €105–140 a noite, 7 min a pé da Bastille, RER A na Gare de Lyon. Alternativa 4★: Villa Beaumarchais (Marais, Chemin Vert) se o total no checkout do eDreams ficar abaixo de €130 — a lista mostra €94 'desde', mas outros sites cobram €175+. Duas reservas (quarta; sexta e sábado) — pergunte se guardam a mala na quinta.</t>
  </si>
  <si>
    <t xml:space="preserve">Louvre, sáb 10/10 às 9h — tarifa residente</t>
  </si>
  <si>
    <t xml:space="preserve">Um mês antes</t>
  </si>
  <si>
    <t xml:space="preserve">Escolha o ingresso de €22 (residente EEE) e leve o título de residência: conferem na entrada.</t>
  </si>
  <si>
    <t xml:space="preserve">Orsay, dom 11/10 às 9h30</t>
  </si>
  <si>
    <t xml:space="preserve">Fecha segunda — por isso é domingo. Primeira entrada evita a fila do meio-dia.</t>
  </si>
  <si>
    <t xml:space="preserve">Sainte-Chapelle, qua 7/10 à tarde</t>
  </si>
  <si>
    <t xml:space="preserve">2 a 4 semanas</t>
  </si>
  <si>
    <t xml:space="preserve">Com hora marcada a fila cai de 40 min para 5.</t>
  </si>
  <si>
    <t xml:space="preserve">Gastos reais</t>
  </si>
  <si>
    <t xml:space="preserve">Total real</t>
  </si>
  <si>
    <t xml:space="preserve">Descrição</t>
  </si>
  <si>
    <t xml:space="preserve">Valor</t>
  </si>
  <si>
    <t xml:space="preserve">Ignorar</t>
  </si>
  <si>
    <t xml:space="preserve">Pago por</t>
  </si>
  <si>
    <t xml:space="preserve">(exemplo — apague ou sobrescreva) Jantar no bouillon</t>
  </si>
  <si>
    <t xml:space="preserve">cartão</t>
  </si>
  <si>
    <t xml:space="preserve">Onde cortar, na ordem que menos dói</t>
  </si>
  <si>
    <t xml:space="preserve">Falta para caber no teto (escolhido com reserva):</t>
  </si>
  <si>
    <t xml:space="preserve">Opção atual</t>
  </si>
  <si>
    <t xml:space="preserve">Escolhido (EUR)</t>
  </si>
  <si>
    <t xml:space="preserve">Econômico (EUR)</t>
  </si>
  <si>
    <t xml:space="preserve">Economia</t>
  </si>
  <si>
    <t xml:space="preserve">Acumulado</t>
  </si>
  <si>
    <t xml:space="preserve">Já basta?</t>
  </si>
  <si>
    <t xml:space="preserve">A ordem foi calculada na geração; os valores são vivos. Se você mudar preços na aba Itens, a ordem pode ficar desatualizada — a economia por linha não.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</si>
</sst>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dd/mm/yyyy"/>
    <numFmt numFmtId="166" formatCode="0"/>
    <numFmt numFmtId="167" formatCode="&quot;€ &quot;#,##0.00;&quot;-€ &quot;#,##0.00;\-"/>
    <numFmt numFmtId="168" formatCode="0.0%"/>
    <numFmt numFmtId="169" formatCode="#,##0"/>
    <numFmt numFmtId="170" formatCode="&quot;€ &quot;#,##0;&quot;-€ &quot;#,##0;\-"/>
    <numFmt numFmtId="171" formatCode="0.000000"/>
    <numFmt numFmtId="172" formatCode="0.00"/>
    <numFmt numFmtId="173" formatCode="#,##0.00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666666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sz val="10"/>
      <color rgb="FF0000FF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i val="true"/>
      <sz val="10"/>
      <color rgb="FF0000FF"/>
      <name val="Arial"/>
      <family val="0"/>
      <charset val="1"/>
    </font>
    <font>
      <i val="true"/>
      <sz val="10"/>
      <color rgb="FF000000"/>
      <name val="Arial"/>
      <family val="0"/>
      <charset val="1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F2A44"/>
        <bgColor rgb="FF003366"/>
      </patternFill>
    </fill>
    <fill>
      <patternFill patternType="solid">
        <fgColor rgb="FFFDECEC"/>
        <bgColor rgb="FFEEF1F7"/>
      </patternFill>
    </fill>
    <fill>
      <patternFill patternType="solid">
        <fgColor rgb="FFEEF1F7"/>
        <bgColor rgb="FFFDECEC"/>
      </patternFill>
    </fill>
    <fill>
      <patternFill patternType="solid">
        <fgColor rgb="FFFFFF00"/>
        <bgColor rgb="FFFFFF00"/>
      </patternFill>
    </fill>
    <fill>
      <patternFill patternType="solid">
        <fgColor rgb="FFFFF6D5"/>
        <bgColor rgb="FFFDECE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4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4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4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F2A4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6D5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08000"/>
          <bgColor rgb="FF000000"/>
        </patternFill>
      </fill>
    </dxf>
    <dxf>
      <fill>
        <patternFill patternType="solid">
          <fgColor rgb="FF0563C1"/>
          <bgColor rgb="FF000000"/>
        </patternFill>
      </fill>
    </dxf>
    <dxf>
      <fill>
        <patternFill patternType="solid">
          <fgColor rgb="FF66666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666666"/>
      <rgbColor rgb="FF800080"/>
      <rgbColor rgb="FF008080"/>
      <rgbColor rgb="FFC0C0C0"/>
      <rgbColor rgb="FF878787"/>
      <rgbColor rgb="FF9999FF"/>
      <rgbColor rgb="FFC0504D"/>
      <rgbColor rgb="FFFFF6D5"/>
      <rgbColor rgb="FFEEF1F7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DECEC"/>
      <rgbColor rgb="FF99CCFF"/>
      <rgbColor rgb="FFFF99CC"/>
      <rgbColor rgb="FFCC99FF"/>
      <rgbColor rgb="FFFFCC99"/>
      <rgbColor rgb="FF4F81BD"/>
      <rgbColor rgb="FF33CCCC"/>
      <rgbColor rgb="FF9BBB59"/>
      <rgbColor rgb="FFFFCC00"/>
      <rgbColor rgb="FFFF9900"/>
      <rgbColor rgb="FFFF6600"/>
      <rgbColor rgb="FF8064A2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A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Por categoria: econômico × plano × escolhido × upgrade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Resumo!B7</c:f>
              <c:strCache>
                <c:ptCount val="1"/>
                <c:pt idx="0">
                  <c:v>Tudo econômico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Resumo!$A$8:$A$14</c:f>
              <c:strCache>
                <c:ptCount val="7"/>
                <c:pt idx="0">
                  <c:v>Voos</c:v>
                </c:pt>
                <c:pt idx="1">
                  <c:v>Hospedagem</c:v>
                </c:pt>
                <c:pt idx="2">
                  <c:v>Taxa de turismo</c:v>
                </c:pt>
                <c:pt idx="3">
                  <c:v>Alimentação</c:v>
                </c:pt>
                <c:pt idx="4">
                  <c:v>Transporte local</c:v>
                </c:pt>
                <c:pt idx="5">
                  <c:v>Atrações</c:v>
                </c:pt>
                <c:pt idx="6">
                  <c:v>Extras e compras</c:v>
                </c:pt>
              </c:strCache>
            </c:strRef>
          </c:cat>
          <c:val>
            <c:numRef>
              <c:f>Resumo!$B$8:$B$14</c:f>
              <c:numCache>
                <c:formatCode>"€ "#,##0.00;"-€ "#,##0.00;\-</c:formatCode>
                <c:ptCount val="7"/>
                <c:pt idx="0">
                  <c:v>160</c:v>
                </c:pt>
                <c:pt idx="1">
                  <c:v>385</c:v>
                </c:pt>
                <c:pt idx="2">
                  <c:v>23</c:v>
                </c:pt>
                <c:pt idx="3">
                  <c:v>262.8</c:v>
                </c:pt>
                <c:pt idx="4">
                  <c:v>104.281</c:v>
                </c:pt>
                <c:pt idx="5">
                  <c:v>413.4</c:v>
                </c:pt>
                <c:pt idx="6">
                  <c:v>40</c:v>
                </c:pt>
              </c:numCache>
            </c:numRef>
          </c:val>
        </c:ser>
        <c:ser>
          <c:idx val="1"/>
          <c:order val="1"/>
          <c:tx>
            <c:strRef>
              <c:f>Resumo!C7</c:f>
              <c:strCache>
                <c:ptCount val="1"/>
                <c:pt idx="0">
                  <c:v>Plano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Resumo!$A$8:$A$14</c:f>
              <c:strCache>
                <c:ptCount val="7"/>
                <c:pt idx="0">
                  <c:v>Voos</c:v>
                </c:pt>
                <c:pt idx="1">
                  <c:v>Hospedagem</c:v>
                </c:pt>
                <c:pt idx="2">
                  <c:v>Taxa de turismo</c:v>
                </c:pt>
                <c:pt idx="3">
                  <c:v>Alimentação</c:v>
                </c:pt>
                <c:pt idx="4">
                  <c:v>Transporte local</c:v>
                </c:pt>
                <c:pt idx="5">
                  <c:v>Atrações</c:v>
                </c:pt>
                <c:pt idx="6">
                  <c:v>Extras e compras</c:v>
                </c:pt>
              </c:strCache>
            </c:strRef>
          </c:cat>
          <c:val>
            <c:numRef>
              <c:f>Resumo!$C$8:$C$14</c:f>
              <c:numCache>
                <c:formatCode>"€ "#,##0.00;"-€ "#,##0.00;\-</c:formatCode>
                <c:ptCount val="7"/>
                <c:pt idx="0">
                  <c:v>200</c:v>
                </c:pt>
                <c:pt idx="1">
                  <c:v>510</c:v>
                </c:pt>
                <c:pt idx="2">
                  <c:v>23</c:v>
                </c:pt>
                <c:pt idx="3">
                  <c:v>380</c:v>
                </c:pt>
                <c:pt idx="4">
                  <c:v>128</c:v>
                </c:pt>
                <c:pt idx="5">
                  <c:v>465</c:v>
                </c:pt>
                <c:pt idx="6">
                  <c:v>80</c:v>
                </c:pt>
              </c:numCache>
            </c:numRef>
          </c:val>
        </c:ser>
        <c:ser>
          <c:idx val="2"/>
          <c:order val="2"/>
          <c:tx>
            <c:strRef>
              <c:f>Resumo!D7</c:f>
              <c:strCache>
                <c:ptCount val="1"/>
                <c:pt idx="0">
                  <c:v>Escolhido ★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Resumo!$A$8:$A$14</c:f>
              <c:strCache>
                <c:ptCount val="7"/>
                <c:pt idx="0">
                  <c:v>Voos</c:v>
                </c:pt>
                <c:pt idx="1">
                  <c:v>Hospedagem</c:v>
                </c:pt>
                <c:pt idx="2">
                  <c:v>Taxa de turismo</c:v>
                </c:pt>
                <c:pt idx="3">
                  <c:v>Alimentação</c:v>
                </c:pt>
                <c:pt idx="4">
                  <c:v>Transporte local</c:v>
                </c:pt>
                <c:pt idx="5">
                  <c:v>Atrações</c:v>
                </c:pt>
                <c:pt idx="6">
                  <c:v>Extras e compras</c:v>
                </c:pt>
              </c:strCache>
            </c:strRef>
          </c:cat>
          <c:val>
            <c:numRef>
              <c:f>Resumo!$D$8:$D$14</c:f>
              <c:numCache>
                <c:formatCode>"€ "#,##0.00;"-€ "#,##0.00;\-</c:formatCode>
                <c:ptCount val="7"/>
                <c:pt idx="0">
                  <c:v>200</c:v>
                </c:pt>
                <c:pt idx="1">
                  <c:v>510</c:v>
                </c:pt>
                <c:pt idx="2">
                  <c:v>23</c:v>
                </c:pt>
                <c:pt idx="3">
                  <c:v>380</c:v>
                </c:pt>
                <c:pt idx="4">
                  <c:v>128</c:v>
                </c:pt>
                <c:pt idx="5">
                  <c:v>465</c:v>
                </c:pt>
                <c:pt idx="6">
                  <c:v>80</c:v>
                </c:pt>
              </c:numCache>
            </c:numRef>
          </c:val>
        </c:ser>
        <c:ser>
          <c:idx val="3"/>
          <c:order val="3"/>
          <c:tx>
            <c:strRef>
              <c:f>Resumo!E7</c:f>
              <c:strCache>
                <c:ptCount val="1"/>
                <c:pt idx="0">
                  <c:v>Tudo upgrade</c:v>
                </c:pt>
              </c:strCache>
            </c:strRef>
          </c:tx>
          <c:spPr>
            <a:solidFill>
              <a:srgbClr val="8064a2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Resumo!$A$8:$A$14</c:f>
              <c:strCache>
                <c:ptCount val="7"/>
                <c:pt idx="0">
                  <c:v>Voos</c:v>
                </c:pt>
                <c:pt idx="1">
                  <c:v>Hospedagem</c:v>
                </c:pt>
                <c:pt idx="2">
                  <c:v>Taxa de turismo</c:v>
                </c:pt>
                <c:pt idx="3">
                  <c:v>Alimentação</c:v>
                </c:pt>
                <c:pt idx="4">
                  <c:v>Transporte local</c:v>
                </c:pt>
                <c:pt idx="5">
                  <c:v>Atrações</c:v>
                </c:pt>
                <c:pt idx="6">
                  <c:v>Extras e compras</c:v>
                </c:pt>
              </c:strCache>
            </c:strRef>
          </c:cat>
          <c:val>
            <c:numRef>
              <c:f>Resumo!$E$8:$E$14</c:f>
              <c:numCache>
                <c:formatCode>"€ "#,##0.00;"-€ "#,##0.00;\-</c:formatCode>
                <c:ptCount val="7"/>
                <c:pt idx="0">
                  <c:v>328</c:v>
                </c:pt>
                <c:pt idx="1">
                  <c:v>785</c:v>
                </c:pt>
                <c:pt idx="2">
                  <c:v>23</c:v>
                </c:pt>
                <c:pt idx="3">
                  <c:v>606.4</c:v>
                </c:pt>
                <c:pt idx="4">
                  <c:v>264</c:v>
                </c:pt>
                <c:pt idx="5">
                  <c:v>691.8</c:v>
                </c:pt>
                <c:pt idx="6">
                  <c:v>80</c:v>
                </c:pt>
              </c:numCache>
            </c:numRef>
          </c:val>
        </c:ser>
        <c:gapWidth val="150"/>
        <c:overlap val="0"/>
        <c:axId val="19950290"/>
        <c:axId val="58801430"/>
      </c:barChart>
      <c:catAx>
        <c:axId val="1995029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8801430"/>
        <c:crosses val="autoZero"/>
        <c:auto val="1"/>
        <c:lblAlgn val="ctr"/>
        <c:lblOffset val="100"/>
        <c:noMultiLvlLbl val="0"/>
      </c:catAx>
      <c:valAx>
        <c:axId val="5880143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995029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2</xdr:row>
      <xdr:rowOff>160920</xdr:rowOff>
    </xdr:from>
    <xdr:to>
      <xdr:col>20</xdr:col>
      <xdr:colOff>292680</xdr:colOff>
      <xdr:row>16</xdr:row>
      <xdr:rowOff>182880</xdr:rowOff>
    </xdr:to>
    <xdr:graphicFrame>
      <xdr:nvGraphicFramePr>
        <xdr:cNvPr id="0" name="Chart 1"/>
        <xdr:cNvGraphicFramePr/>
      </xdr:nvGraphicFramePr>
      <xdr:xfrm>
        <a:off x="13382640" y="571680"/>
        <a:ext cx="86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hyperlink" Target="https://www.transavia.com/pt-PT/" TargetMode="External"/><Relationship Id="rId3" Type="http://schemas.openxmlformats.org/officeDocument/2006/relationships/hyperlink" Target="https://www.transavia.com/pt-PT/" TargetMode="External"/><Relationship Id="rId4" Type="http://schemas.openxmlformats.org/officeDocument/2006/relationships/hyperlink" Target="https://all.accor.com/hotel/1399/index.en.shtml" TargetMode="External"/><Relationship Id="rId5" Type="http://schemas.openxmlformats.org/officeDocument/2006/relationships/hyperlink" Target="https://www.hotel-bb.com/fr/hotel/marne-la-vallee-magny-le-hongre" TargetMode="External"/><Relationship Id="rId6" Type="http://schemas.openxmlformats.org/officeDocument/2006/relationships/hyperlink" Target="https://www.bouillon-chartier.com/en/" TargetMode="External"/><Relationship Id="rId7" Type="http://schemas.openxmlformats.org/officeDocument/2006/relationships/hyperlink" Target="https://www.marchedaligre.fr/" TargetMode="External"/><Relationship Id="rId8" Type="http://schemas.openxmlformats.org/officeDocument/2006/relationships/hyperlink" Target="https://www.bonjour-ratp.fr/en/titres-tarifs/" TargetMode="External"/><Relationship Id="rId9" Type="http://schemas.openxmlformats.org/officeDocument/2006/relationships/hyperlink" Target="https://www.bonjour-ratp.fr/en/" TargetMode="External"/><Relationship Id="rId10" Type="http://schemas.openxmlformats.org/officeDocument/2006/relationships/hyperlink" Target="https://www.bonjour-ratp.fr/en/" TargetMode="External"/><Relationship Id="rId11" Type="http://schemas.openxmlformats.org/officeDocument/2006/relationships/hyperlink" Target="https://www.sainte-chapelle.fr/en/visit/practical-information" TargetMode="External"/><Relationship Id="rId12" Type="http://schemas.openxmlformats.org/officeDocument/2006/relationships/hyperlink" Target="https://www.disneylandparis.com/en-int/tickets/" TargetMode="External"/><Relationship Id="rId13" Type="http://schemas.openxmlformats.org/officeDocument/2006/relationships/hyperlink" Target="https://www.toureiffel.paris/en" TargetMode="External"/><Relationship Id="rId14" Type="http://schemas.openxmlformats.org/officeDocument/2006/relationships/hyperlink" Target="https://www.louvre.fr/en/visit/hours-admission" TargetMode="External"/><Relationship Id="rId15" Type="http://schemas.openxmlformats.org/officeDocument/2006/relationships/hyperlink" Target="https://www.musee-orangerie.fr/en" TargetMode="External"/><Relationship Id="rId16" Type="http://schemas.openxmlformats.org/officeDocument/2006/relationships/hyperlink" Target="https://www.musee-orsay.fr/en" TargetMode="External"/><Relationship Id="rId17" Type="http://schemas.openxmlformats.org/officeDocument/2006/relationships/drawing" Target="../drawings/drawing2.xml"/><Relationship Id="rId18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www.bonjour-ratp.fr/en/" TargetMode="External"/><Relationship Id="rId2" Type="http://schemas.openxmlformats.org/officeDocument/2006/relationships/hyperlink" Target="https://www.sainte-chapelle.fr/en/visit/practical-information" TargetMode="External"/><Relationship Id="rId3" Type="http://schemas.openxmlformats.org/officeDocument/2006/relationships/hyperlink" Target="https://www.bouillon-chartier.com/en/" TargetMode="External"/><Relationship Id="rId4" Type="http://schemas.openxmlformats.org/officeDocument/2006/relationships/hyperlink" Target="https://www.disneylandparis.com/en-int/tickets/" TargetMode="External"/><Relationship Id="rId5" Type="http://schemas.openxmlformats.org/officeDocument/2006/relationships/hyperlink" Target="https://www.disneylandparis.com/en-int/tickets/" TargetMode="External"/><Relationship Id="rId6" Type="http://schemas.openxmlformats.org/officeDocument/2006/relationships/hyperlink" Target="https://www.disneylandparis.com/en-int/tickets/" TargetMode="External"/><Relationship Id="rId7" Type="http://schemas.openxmlformats.org/officeDocument/2006/relationships/hyperlink" Target="https://www.louvre.fr/en/visit/hours-admission" TargetMode="External"/><Relationship Id="rId8" Type="http://schemas.openxmlformats.org/officeDocument/2006/relationships/hyperlink" Target="https://www.musee-orangerie.fr/en" TargetMode="External"/><Relationship Id="rId9" Type="http://schemas.openxmlformats.org/officeDocument/2006/relationships/hyperlink" Target="https://www.toureiffel.paris/en" TargetMode="External"/><Relationship Id="rId10" Type="http://schemas.openxmlformats.org/officeDocument/2006/relationships/hyperlink" Target="https://www.musee-orsay.fr/en" TargetMode="External"/><Relationship Id="rId11" Type="http://schemas.openxmlformats.org/officeDocument/2006/relationships/hyperlink" Target="https://www.marchedaligre.fr/" TargetMode="Externa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hyperlink" Target="https://www.transavia.com/pt-PT/" TargetMode="External"/><Relationship Id="rId2" Type="http://schemas.openxmlformats.org/officeDocument/2006/relationships/hyperlink" Target="https://www.toureiffel.paris/en" TargetMode="External"/><Relationship Id="rId3" Type="http://schemas.openxmlformats.org/officeDocument/2006/relationships/hyperlink" Target="https://www.disneylandparis.com/en-usd/offers" TargetMode="External"/><Relationship Id="rId4" Type="http://schemas.openxmlformats.org/officeDocument/2006/relationships/hyperlink" Target="https://www.hotel-bb.com/fr/hotel/marne-la-vallee-magny-le-hongre" TargetMode="External"/><Relationship Id="rId5" Type="http://schemas.openxmlformats.org/officeDocument/2006/relationships/hyperlink" Target="https://all.accor.com/" TargetMode="External"/><Relationship Id="rId6" Type="http://schemas.openxmlformats.org/officeDocument/2006/relationships/hyperlink" Target="https://www.louvre.fr/en/visit/hours-admission" TargetMode="External"/><Relationship Id="rId7" Type="http://schemas.openxmlformats.org/officeDocument/2006/relationships/hyperlink" Target="https://www.sainte-chapelle.fr/en/visit/practical-information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7" min="2" style="0" width="17"/>
    <col collapsed="false" customWidth="true" hidden="false" outlineLevel="0" max="8" min="8" style="0" width="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 t="n">
        <f aca="false">Parâmetros!B4</f>
        <v>46302</v>
      </c>
      <c r="C4" s="4" t="n">
        <f aca="false">Parâmetros!B5</f>
        <v>46306</v>
      </c>
    </row>
    <row r="5" customFormat="false" ht="15" hidden="false" customHeight="false" outlineLevel="0" collapsed="false">
      <c r="A5" s="3" t="s">
        <v>3</v>
      </c>
      <c r="B5" s="5" t="n">
        <f aca="false">Parâmetros!B8</f>
        <v>2</v>
      </c>
      <c r="C5" s="5" t="n">
        <f aca="false">Parâmetros!B6</f>
        <v>4</v>
      </c>
      <c r="D5" s="5" t="n">
        <f aca="false">Parâmetros!B7</f>
        <v>5</v>
      </c>
    </row>
    <row r="7" customFormat="false" ht="30" hidden="false" customHeight="true" outlineLevel="0" collapsed="false">
      <c r="A7" s="6" t="s">
        <v>4</v>
      </c>
      <c r="B7" s="6" t="s">
        <v>5</v>
      </c>
      <c r="C7" s="6" t="s">
        <v>6</v>
      </c>
      <c r="D7" s="6" t="s">
        <v>7</v>
      </c>
      <c r="E7" s="6" t="s">
        <v>8</v>
      </c>
      <c r="F7" s="6" t="s">
        <v>9</v>
      </c>
      <c r="G7" s="6" t="s">
        <v>10</v>
      </c>
      <c r="H7" s="6" t="s">
        <v>11</v>
      </c>
    </row>
    <row r="8" customFormat="false" ht="15" hidden="false" customHeight="false" outlineLevel="0" collapsed="false">
      <c r="A8" s="7" t="str">
        <f aca="false">Parâmetros!B27</f>
        <v>Voos</v>
      </c>
      <c r="B8" s="8" t="n">
        <f aca="false">SUMIFS(Itens!$O:$O,Itens!$B:$B,Parâmetros!$A$27)</f>
        <v>160</v>
      </c>
      <c r="C8" s="8" t="n">
        <f aca="false">SUMIFS(Itens!$P:$P,Itens!$B:$B,Parâmetros!$A$27)</f>
        <v>200</v>
      </c>
      <c r="D8" s="9" t="n">
        <f aca="false">SUMIFS(Itens!$R:$R,Itens!$B:$B,Parâmetros!$A$27)</f>
        <v>200</v>
      </c>
      <c r="E8" s="8" t="n">
        <f aca="false">SUMIFS(Itens!$Q:$Q,Itens!$B:$B,Parâmetros!$A$27)</f>
        <v>328</v>
      </c>
      <c r="F8" s="8" t="n">
        <f aca="false">SUMIFS(Real!$G:$G,Real!$B:$B,Parâmetros!$A$27)</f>
        <v>0</v>
      </c>
      <c r="G8" s="10" t="str">
        <f aca="false">IF(F8=0,"",F8-D8)</f>
        <v/>
      </c>
      <c r="H8" s="7" t="str">
        <f aca="false">Parâmetros!D27</f>
        <v>não</v>
      </c>
    </row>
    <row r="9" customFormat="false" ht="15" hidden="false" customHeight="false" outlineLevel="0" collapsed="false">
      <c r="A9" s="7" t="str">
        <f aca="false">Parâmetros!B28</f>
        <v>Hospedagem</v>
      </c>
      <c r="B9" s="8" t="n">
        <f aca="false">SUMIFS(Itens!$O:$O,Itens!$B:$B,Parâmetros!$A$28)</f>
        <v>385</v>
      </c>
      <c r="C9" s="8" t="n">
        <f aca="false">SUMIFS(Itens!$P:$P,Itens!$B:$B,Parâmetros!$A$28)</f>
        <v>510</v>
      </c>
      <c r="D9" s="9" t="n">
        <f aca="false">SUMIFS(Itens!$R:$R,Itens!$B:$B,Parâmetros!$A$28)</f>
        <v>510</v>
      </c>
      <c r="E9" s="8" t="n">
        <f aca="false">SUMIFS(Itens!$Q:$Q,Itens!$B:$B,Parâmetros!$A$28)</f>
        <v>785</v>
      </c>
      <c r="F9" s="8" t="n">
        <f aca="false">SUMIFS(Real!$G:$G,Real!$B:$B,Parâmetros!$A$28)</f>
        <v>0</v>
      </c>
      <c r="G9" s="10" t="str">
        <f aca="false">IF(F9=0,"",F9-D9)</f>
        <v/>
      </c>
      <c r="H9" s="7" t="str">
        <f aca="false">Parâmetros!D28</f>
        <v>não</v>
      </c>
    </row>
    <row r="10" customFormat="false" ht="15" hidden="false" customHeight="false" outlineLevel="0" collapsed="false">
      <c r="A10" s="7" t="str">
        <f aca="false">Parâmetros!B29</f>
        <v>Taxa de turismo</v>
      </c>
      <c r="B10" s="8" t="n">
        <f aca="false">SUMIFS(Itens!$O:$O,Itens!$B:$B,Parâmetros!$A$29)</f>
        <v>23</v>
      </c>
      <c r="C10" s="8" t="n">
        <f aca="false">SUMIFS(Itens!$P:$P,Itens!$B:$B,Parâmetros!$A$29)</f>
        <v>23</v>
      </c>
      <c r="D10" s="9" t="n">
        <f aca="false">SUMIFS(Itens!$R:$R,Itens!$B:$B,Parâmetros!$A$29)</f>
        <v>23</v>
      </c>
      <c r="E10" s="8" t="n">
        <f aca="false">SUMIFS(Itens!$Q:$Q,Itens!$B:$B,Parâmetros!$A$29)</f>
        <v>23</v>
      </c>
      <c r="F10" s="8" t="n">
        <f aca="false">SUMIFS(Real!$G:$G,Real!$B:$B,Parâmetros!$A$29)</f>
        <v>0</v>
      </c>
      <c r="G10" s="10" t="str">
        <f aca="false">IF(F10=0,"",F10-D10)</f>
        <v/>
      </c>
      <c r="H10" s="7" t="str">
        <f aca="false">Parâmetros!D29</f>
        <v>não</v>
      </c>
    </row>
    <row r="11" customFormat="false" ht="15" hidden="false" customHeight="false" outlineLevel="0" collapsed="false">
      <c r="A11" s="11" t="str">
        <f aca="false">Parâmetros!B30</f>
        <v>Alimentação</v>
      </c>
      <c r="B11" s="12" t="n">
        <f aca="false">SUMIFS(Itens!$O:$O,Itens!$B:$B,Parâmetros!$A$30)</f>
        <v>262.8</v>
      </c>
      <c r="C11" s="12" t="n">
        <f aca="false">SUMIFS(Itens!$P:$P,Itens!$B:$B,Parâmetros!$A$30)</f>
        <v>380</v>
      </c>
      <c r="D11" s="13" t="n">
        <f aca="false">SUMIFS(Itens!$R:$R,Itens!$B:$B,Parâmetros!$A$30)</f>
        <v>380</v>
      </c>
      <c r="E11" s="12" t="n">
        <f aca="false">SUMIFS(Itens!$Q:$Q,Itens!$B:$B,Parâmetros!$A$30)</f>
        <v>606.4</v>
      </c>
      <c r="F11" s="12" t="n">
        <f aca="false">SUMIFS(Real!$G:$G,Real!$B:$B,Parâmetros!$A$30)</f>
        <v>0</v>
      </c>
      <c r="G11" s="14" t="str">
        <f aca="false">IF(F11=0,"",F11-D11)</f>
        <v/>
      </c>
      <c r="H11" s="11" t="str">
        <f aca="false">Parâmetros!D30</f>
        <v>sim</v>
      </c>
    </row>
    <row r="12" customFormat="false" ht="15" hidden="false" customHeight="false" outlineLevel="0" collapsed="false">
      <c r="A12" s="7" t="str">
        <f aca="false">Parâmetros!B31</f>
        <v>Transporte local</v>
      </c>
      <c r="B12" s="8" t="n">
        <f aca="false">SUMIFS(Itens!$O:$O,Itens!$B:$B,Parâmetros!$A$31)</f>
        <v>104.281</v>
      </c>
      <c r="C12" s="8" t="n">
        <f aca="false">SUMIFS(Itens!$P:$P,Itens!$B:$B,Parâmetros!$A$31)</f>
        <v>128</v>
      </c>
      <c r="D12" s="9" t="n">
        <f aca="false">SUMIFS(Itens!$R:$R,Itens!$B:$B,Parâmetros!$A$31)</f>
        <v>128</v>
      </c>
      <c r="E12" s="8" t="n">
        <f aca="false">SUMIFS(Itens!$Q:$Q,Itens!$B:$B,Parâmetros!$A$31)</f>
        <v>264</v>
      </c>
      <c r="F12" s="8" t="n">
        <f aca="false">SUMIFS(Real!$G:$G,Real!$B:$B,Parâmetros!$A$31)</f>
        <v>0</v>
      </c>
      <c r="G12" s="10" t="str">
        <f aca="false">IF(F12=0,"",F12-D12)</f>
        <v/>
      </c>
      <c r="H12" s="7" t="str">
        <f aca="false">Parâmetros!D31</f>
        <v>não</v>
      </c>
    </row>
    <row r="13" customFormat="false" ht="15" hidden="false" customHeight="false" outlineLevel="0" collapsed="false">
      <c r="A13" s="11" t="str">
        <f aca="false">Parâmetros!B32</f>
        <v>Atrações</v>
      </c>
      <c r="B13" s="12" t="n">
        <f aca="false">SUMIFS(Itens!$O:$O,Itens!$B:$B,Parâmetros!$A$32)</f>
        <v>413.4</v>
      </c>
      <c r="C13" s="12" t="n">
        <f aca="false">SUMIFS(Itens!$P:$P,Itens!$B:$B,Parâmetros!$A$32)</f>
        <v>465</v>
      </c>
      <c r="D13" s="13" t="n">
        <f aca="false">SUMIFS(Itens!$R:$R,Itens!$B:$B,Parâmetros!$A$32)</f>
        <v>465</v>
      </c>
      <c r="E13" s="12" t="n">
        <f aca="false">SUMIFS(Itens!$Q:$Q,Itens!$B:$B,Parâmetros!$A$32)</f>
        <v>691.8</v>
      </c>
      <c r="F13" s="12" t="n">
        <f aca="false">SUMIFS(Real!$G:$G,Real!$B:$B,Parâmetros!$A$32)</f>
        <v>0</v>
      </c>
      <c r="G13" s="14" t="str">
        <f aca="false">IF(F13=0,"",F13-D13)</f>
        <v/>
      </c>
      <c r="H13" s="11" t="str">
        <f aca="false">Parâmetros!D32</f>
        <v>sim</v>
      </c>
    </row>
    <row r="14" customFormat="false" ht="15" hidden="false" customHeight="false" outlineLevel="0" collapsed="false">
      <c r="A14" s="7" t="str">
        <f aca="false">Parâmetros!B33</f>
        <v>Extras e compras</v>
      </c>
      <c r="B14" s="8" t="n">
        <f aca="false">SUMIFS(Itens!$O:$O,Itens!$B:$B,Parâmetros!$A$33)</f>
        <v>40</v>
      </c>
      <c r="C14" s="8" t="n">
        <f aca="false">SUMIFS(Itens!$P:$P,Itens!$B:$B,Parâmetros!$A$33)</f>
        <v>80</v>
      </c>
      <c r="D14" s="9" t="n">
        <f aca="false">SUMIFS(Itens!$R:$R,Itens!$B:$B,Parâmetros!$A$33)</f>
        <v>80</v>
      </c>
      <c r="E14" s="8" t="n">
        <f aca="false">SUMIFS(Itens!$Q:$Q,Itens!$B:$B,Parâmetros!$A$33)</f>
        <v>80</v>
      </c>
      <c r="F14" s="8" t="n">
        <f aca="false">SUMIFS(Real!$G:$G,Real!$B:$B,Parâmetros!$A$33)</f>
        <v>0</v>
      </c>
      <c r="G14" s="10" t="str">
        <f aca="false">IF(F14=0,"",F14-D14)</f>
        <v/>
      </c>
      <c r="H14" s="7" t="str">
        <f aca="false">Parâmetros!D33</f>
        <v>não</v>
      </c>
    </row>
    <row r="15" customFormat="false" ht="15" hidden="false" customHeight="false" outlineLevel="0" collapsed="false">
      <c r="A15" s="15" t="s">
        <v>12</v>
      </c>
      <c r="B15" s="16" t="n">
        <f aca="false">SUM(B8:B14)</f>
        <v>1388.481</v>
      </c>
      <c r="C15" s="16" t="n">
        <f aca="false">SUM(C8:C14)</f>
        <v>1786</v>
      </c>
      <c r="D15" s="16" t="n">
        <f aca="false">SUM(D8:D14)</f>
        <v>1786</v>
      </c>
      <c r="E15" s="16" t="n">
        <f aca="false">SUM(E8:E14)</f>
        <v>2778.2</v>
      </c>
      <c r="F15" s="16" t="n">
        <f aca="false">SUM(F8:F14)</f>
        <v>0</v>
      </c>
      <c r="G15" s="17"/>
      <c r="H15" s="17"/>
    </row>
    <row r="16" customFormat="false" ht="15" hidden="false" customHeight="false" outlineLevel="0" collapsed="false">
      <c r="A16" s="3" t="s">
        <v>13</v>
      </c>
      <c r="B16" s="10" t="n">
        <f aca="false">B15*Parâmetros!$B$13</f>
        <v>138.8481</v>
      </c>
      <c r="C16" s="10" t="n">
        <f aca="false">C15*Parâmetros!$B$13</f>
        <v>178.6</v>
      </c>
      <c r="D16" s="18" t="n">
        <f aca="false">D15*Parâmetros!$B$13</f>
        <v>178.6</v>
      </c>
      <c r="E16" s="10" t="n">
        <f aca="false">E15*Parâmetros!$B$13</f>
        <v>277.82</v>
      </c>
    </row>
    <row r="17" customFormat="false" ht="15" hidden="false" customHeight="false" outlineLevel="0" collapsed="false">
      <c r="A17" s="15" t="s">
        <v>14</v>
      </c>
      <c r="B17" s="16" t="n">
        <f aca="false">B15+B16</f>
        <v>1527.3291</v>
      </c>
      <c r="C17" s="16" t="n">
        <f aca="false">C15+C16</f>
        <v>1964.6</v>
      </c>
      <c r="D17" s="16" t="n">
        <f aca="false">D15+D16</f>
        <v>1964.6</v>
      </c>
      <c r="E17" s="16" t="n">
        <f aca="false">E15+E16</f>
        <v>3056.02</v>
      </c>
      <c r="F17" s="17"/>
      <c r="G17" s="17"/>
      <c r="H17" s="17"/>
    </row>
    <row r="19" customFormat="false" ht="15" hidden="false" customHeight="false" outlineLevel="0" collapsed="false">
      <c r="A19" s="3" t="s">
        <v>15</v>
      </c>
      <c r="B19" s="10" t="n">
        <f aca="false">B15/Parâmetros!$B$8</f>
        <v>694.2405</v>
      </c>
      <c r="C19" s="10" t="n">
        <f aca="false">C15/Parâmetros!$B$8</f>
        <v>893</v>
      </c>
      <c r="D19" s="18" t="n">
        <f aca="false">D15/Parâmetros!$B$8</f>
        <v>893</v>
      </c>
      <c r="E19" s="10" t="n">
        <f aca="false">E15/Parâmetros!$B$8</f>
        <v>1389.1</v>
      </c>
      <c r="F19" s="10" t="n">
        <f aca="false">F15/Parâmetros!$B$8</f>
        <v>0</v>
      </c>
    </row>
    <row r="20" customFormat="false" ht="15" hidden="false" customHeight="false" outlineLevel="0" collapsed="false">
      <c r="A20" s="3" t="s">
        <v>16</v>
      </c>
      <c r="B20" s="10" t="n">
        <f aca="false">B15/Parâmetros!$B$7</f>
        <v>277.6962</v>
      </c>
      <c r="C20" s="10" t="n">
        <f aca="false">C15/Parâmetros!$B$7</f>
        <v>357.2</v>
      </c>
      <c r="D20" s="18" t="n">
        <f aca="false">D15/Parâmetros!$B$7</f>
        <v>357.2</v>
      </c>
      <c r="E20" s="10" t="n">
        <f aca="false">E15/Parâmetros!$B$7</f>
        <v>555.64</v>
      </c>
      <c r="F20" s="10" t="n">
        <f aca="false">F15/Parâmetros!$B$7</f>
        <v>0</v>
      </c>
    </row>
    <row r="21" customFormat="false" ht="15" hidden="false" customHeight="false" outlineLevel="0" collapsed="false">
      <c r="A21" s="3" t="s">
        <v>17</v>
      </c>
      <c r="B21" s="10" t="n">
        <f aca="false">B15/Parâmetros!$B$8/Parâmetros!$B$7</f>
        <v>138.8481</v>
      </c>
      <c r="C21" s="10" t="n">
        <f aca="false">C15/Parâmetros!$B$8/Parâmetros!$B$7</f>
        <v>178.6</v>
      </c>
      <c r="D21" s="18" t="n">
        <f aca="false">D15/Parâmetros!$B$8/Parâmetros!$B$7</f>
        <v>178.6</v>
      </c>
      <c r="E21" s="10" t="n">
        <f aca="false">E15/Parâmetros!$B$8/Parâmetros!$B$7</f>
        <v>277.82</v>
      </c>
      <c r="F21" s="10" t="n">
        <f aca="false">F15/Parâmetros!$B$8/Parâmetros!$B$7</f>
        <v>0</v>
      </c>
    </row>
    <row r="22" customFormat="false" ht="15" hidden="false" customHeight="false" outlineLevel="0" collapsed="false">
      <c r="A22" s="3" t="s">
        <v>18</v>
      </c>
      <c r="B22" s="10" t="n">
        <f aca="false">B15-SUMIFS(Itens!$O:$O,Itens!$B:$B,"voos")</f>
        <v>1228.481</v>
      </c>
      <c r="C22" s="10" t="n">
        <f aca="false">C15-SUMIFS(Itens!$P:$P,Itens!$B:$B,"voos")</f>
        <v>1586</v>
      </c>
      <c r="D22" s="18" t="n">
        <f aca="false">D15-SUMIFS(Itens!$R:$R,Itens!$B:$B,"voos")</f>
        <v>1586</v>
      </c>
      <c r="E22" s="10" t="n">
        <f aca="false">E15-SUMIFS(Itens!$Q:$Q,Itens!$B:$B,"voos")</f>
        <v>2450.2</v>
      </c>
    </row>
    <row r="23" customFormat="false" ht="15" hidden="false" customHeight="false" outlineLevel="0" collapsed="false">
      <c r="A23" s="3" t="s">
        <v>19</v>
      </c>
      <c r="B23" s="19" t="n">
        <f aca="false">IF(B22=0,0,SUMIFS(Itens!$O:$O,Itens!$B:$B,"alimentacao")/B22)</f>
        <v>0.213922722451548</v>
      </c>
      <c r="C23" s="19" t="n">
        <f aca="false">IF(C22=0,0,SUMIFS(Itens!$P:$P,Itens!$B:$B,"alimentacao")/C22)</f>
        <v>0.239596469104666</v>
      </c>
      <c r="D23" s="20" t="n">
        <f aca="false">IF(D22=0,0,SUMIFS(Itens!$R:$R,Itens!$B:$B,"alimentacao")/D22)</f>
        <v>0.239596469104666</v>
      </c>
      <c r="E23" s="19" t="n">
        <f aca="false">IF(E22=0,0,SUMIFS(Itens!$Q:$Q,Itens!$B:$B,"alimentacao")/E22)</f>
        <v>0.24749000081626</v>
      </c>
      <c r="H23" s="2" t="s">
        <v>20</v>
      </c>
    </row>
    <row r="25" customFormat="false" ht="15" hidden="false" customHeight="false" outlineLevel="0" collapsed="false">
      <c r="A25" s="21" t="s">
        <v>21</v>
      </c>
      <c r="B25" s="18" t="n">
        <f aca="false">Parâmetros!$B$12</f>
        <v>2000</v>
      </c>
      <c r="C25" s="18" t="n">
        <f aca="false">Parâmetros!$B$12</f>
        <v>2000</v>
      </c>
      <c r="D25" s="18" t="n">
        <f aca="false">Parâmetros!$B$12</f>
        <v>2000</v>
      </c>
      <c r="E25" s="18" t="n">
        <f aca="false">Parâmetros!$B$12</f>
        <v>2000</v>
      </c>
    </row>
    <row r="26" customFormat="false" ht="15" hidden="false" customHeight="false" outlineLevel="0" collapsed="false">
      <c r="A26" s="21" t="s">
        <v>22</v>
      </c>
      <c r="B26" s="18" t="n">
        <f aca="false">B25-B17</f>
        <v>472.6709</v>
      </c>
      <c r="C26" s="18" t="n">
        <f aca="false">C25-C17</f>
        <v>35.4000000000001</v>
      </c>
      <c r="D26" s="18" t="n">
        <f aca="false">D25-D17</f>
        <v>35.4000000000001</v>
      </c>
      <c r="E26" s="18" t="n">
        <f aca="false">E25-E17</f>
        <v>-1056.02</v>
      </c>
    </row>
    <row r="27" customFormat="false" ht="15" hidden="false" customHeight="false" outlineLevel="0" collapsed="false">
      <c r="A27" s="3" t="s">
        <v>23</v>
      </c>
      <c r="B27" s="19" t="n">
        <f aca="false">IF(B25=0,0,B17/B25)</f>
        <v>0.76366455</v>
      </c>
      <c r="C27" s="19" t="n">
        <f aca="false">IF(C25=0,0,C17/C25)</f>
        <v>0.9823</v>
      </c>
      <c r="D27" s="20" t="n">
        <f aca="false">IF(D25=0,0,D17/D25)</f>
        <v>0.9823</v>
      </c>
      <c r="E27" s="19" t="n">
        <f aca="false">IF(E25=0,0,E17/E25)</f>
        <v>1.52801</v>
      </c>
    </row>
    <row r="28" customFormat="false" ht="15" hidden="false" customHeight="false" outlineLevel="0" collapsed="false">
      <c r="A28" s="21" t="s">
        <v>24</v>
      </c>
      <c r="B28" s="21" t="str">
        <f aca="false">IF(B26&gt;=0,"cabe, sobram "&amp;TEXT(B26,"#,##0")&amp;" €","faltam "&amp;TEXT(-B26,"#,##0")&amp;" €")</f>
        <v>cabe, sobram 473 €</v>
      </c>
      <c r="C28" s="21" t="str">
        <f aca="false">IF(C26&gt;=0,"cabe, sobram "&amp;TEXT(C26,"#,##0")&amp;" €","faltam "&amp;TEXT(-C26,"#,##0")&amp;" €")</f>
        <v>cabe, sobram 35 €</v>
      </c>
      <c r="D28" s="21" t="str">
        <f aca="false">IF(D26&gt;=0,"cabe, sobram "&amp;TEXT(D26,"#,##0")&amp;" €","faltam "&amp;TEXT(-D26,"#,##0")&amp;" €")</f>
        <v>cabe, sobram 35 €</v>
      </c>
      <c r="E28" s="21" t="str">
        <f aca="false">IF(E26&gt;=0,"cabe, sobram "&amp;TEXT(E26,"#,##0")&amp;" €","faltam "&amp;TEXT(-E26,"#,##0")&amp;" €")</f>
        <v>faltam 1,056 €</v>
      </c>
    </row>
    <row r="29" customFormat="false" ht="15" hidden="false" customHeight="false" outlineLevel="0" collapsed="false">
      <c r="A29" s="3" t="s">
        <v>25</v>
      </c>
      <c r="D29" s="7" t="str">
        <f aca="false">COUNTIF(Itens!$H:$H,"upgrade")&amp;" up · "&amp;COUNTIF(Itens!$H:$H,"econômico")&amp;" eco"</f>
        <v>0 up · 0 eco</v>
      </c>
    </row>
    <row r="31" customFormat="false" ht="15" hidden="false" customHeight="false" outlineLevel="0" collapsed="false">
      <c r="A31" s="21" t="s">
        <v>26</v>
      </c>
    </row>
    <row r="32" customFormat="false" ht="15" hidden="false" customHeight="false" outlineLevel="0" collapsed="false">
      <c r="A32" s="22" t="s">
        <v>27</v>
      </c>
    </row>
    <row r="33" customFormat="false" ht="15" hidden="false" customHeight="false" outlineLevel="0" collapsed="false">
      <c r="A33" s="22" t="s">
        <v>28</v>
      </c>
    </row>
    <row r="34" customFormat="false" ht="15" hidden="false" customHeight="false" outlineLevel="0" collapsed="false">
      <c r="A34" s="22" t="s">
        <v>29</v>
      </c>
    </row>
    <row r="35" customFormat="false" ht="15" hidden="false" customHeight="false" outlineLevel="0" collapsed="false">
      <c r="A35" s="22" t="s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8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7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31</v>
      </c>
    </row>
    <row r="3" customFormat="false" ht="15" hidden="false" customHeight="false" outlineLevel="0" collapsed="false">
      <c r="A3" s="3" t="s">
        <v>32</v>
      </c>
      <c r="B3" s="23" t="s">
        <v>33</v>
      </c>
    </row>
    <row r="4" customFormat="false" ht="15" hidden="false" customHeight="false" outlineLevel="0" collapsed="false">
      <c r="A4" s="3" t="s">
        <v>34</v>
      </c>
      <c r="B4" s="24" t="n">
        <v>46302</v>
      </c>
    </row>
    <row r="5" customFormat="false" ht="15" hidden="false" customHeight="false" outlineLevel="0" collapsed="false">
      <c r="A5" s="3" t="s">
        <v>35</v>
      </c>
      <c r="B5" s="24" t="n">
        <v>46306</v>
      </c>
    </row>
    <row r="6" customFormat="false" ht="15" hidden="false" customHeight="false" outlineLevel="0" collapsed="false">
      <c r="A6" s="3" t="s">
        <v>36</v>
      </c>
      <c r="B6" s="25" t="n">
        <f aca="false">B5-B4</f>
        <v>4</v>
      </c>
      <c r="E6" s="2" t="s">
        <v>37</v>
      </c>
    </row>
    <row r="7" customFormat="false" ht="15" hidden="false" customHeight="false" outlineLevel="0" collapsed="false">
      <c r="A7" s="3" t="s">
        <v>38</v>
      </c>
      <c r="B7" s="25" t="n">
        <f aca="false">B5-B4+1</f>
        <v>5</v>
      </c>
      <c r="E7" s="2" t="s">
        <v>37</v>
      </c>
    </row>
    <row r="8" customFormat="false" ht="15" hidden="false" customHeight="false" outlineLevel="0" collapsed="false">
      <c r="A8" s="3" t="s">
        <v>39</v>
      </c>
      <c r="B8" s="26" t="n">
        <v>2</v>
      </c>
    </row>
    <row r="9" customFormat="false" ht="15" hidden="false" customHeight="false" outlineLevel="0" collapsed="false">
      <c r="A9" s="3" t="s">
        <v>40</v>
      </c>
      <c r="B9" s="23" t="s">
        <v>41</v>
      </c>
    </row>
    <row r="10" customFormat="false" ht="15" hidden="false" customHeight="false" outlineLevel="0" collapsed="false">
      <c r="A10" s="3" t="s">
        <v>42</v>
      </c>
      <c r="B10" s="27" t="n">
        <v>2000</v>
      </c>
    </row>
    <row r="11" customFormat="false" ht="15" hidden="false" customHeight="false" outlineLevel="0" collapsed="false">
      <c r="A11" s="3" t="s">
        <v>43</v>
      </c>
      <c r="B11" s="28" t="s">
        <v>44</v>
      </c>
      <c r="E11" s="2" t="s">
        <v>45</v>
      </c>
    </row>
    <row r="12" customFormat="false" ht="15" hidden="false" customHeight="false" outlineLevel="0" collapsed="false">
      <c r="A12" s="3" t="s">
        <v>21</v>
      </c>
      <c r="B12" s="29" t="n">
        <f aca="false">IF(B11="pessoa",B10*B8,B10)</f>
        <v>2000</v>
      </c>
      <c r="E12" s="2" t="s">
        <v>37</v>
      </c>
    </row>
    <row r="13" customFormat="false" ht="15" hidden="false" customHeight="false" outlineLevel="0" collapsed="false">
      <c r="A13" s="3" t="s">
        <v>46</v>
      </c>
      <c r="B13" s="30" t="n">
        <v>0.1</v>
      </c>
      <c r="E13" s="2" t="s">
        <v>47</v>
      </c>
    </row>
    <row r="14" customFormat="false" ht="15" hidden="false" customHeight="false" outlineLevel="0" collapsed="false">
      <c r="A14" s="3" t="s">
        <v>48</v>
      </c>
      <c r="B14" s="30" t="n">
        <v>0</v>
      </c>
      <c r="E14" s="2" t="s">
        <v>49</v>
      </c>
    </row>
    <row r="15" customFormat="false" ht="15" hidden="false" customHeight="false" outlineLevel="0" collapsed="false">
      <c r="A15" s="3" t="s">
        <v>50</v>
      </c>
      <c r="B15" s="23" t="s">
        <v>51</v>
      </c>
      <c r="E15" s="2" t="s">
        <v>52</v>
      </c>
    </row>
    <row r="16" customFormat="false" ht="15" hidden="false" customHeight="false" outlineLevel="0" collapsed="false">
      <c r="A16" s="3" t="s">
        <v>53</v>
      </c>
      <c r="B16" s="24" t="n">
        <v>46277</v>
      </c>
    </row>
    <row r="17" customFormat="false" ht="15" hidden="false" customHeight="false" outlineLevel="0" collapsed="false">
      <c r="A17" s="3" t="s">
        <v>54</v>
      </c>
      <c r="B17" s="23" t="s">
        <v>55</v>
      </c>
    </row>
    <row r="20" customFormat="false" ht="15" hidden="false" customHeight="false" outlineLevel="0" collapsed="false">
      <c r="A20" s="21" t="s">
        <v>56</v>
      </c>
    </row>
    <row r="21" customFormat="false" ht="30" hidden="false" customHeight="true" outlineLevel="0" collapsed="false">
      <c r="A21" s="6" t="s">
        <v>57</v>
      </c>
      <c r="B21" s="6" t="s">
        <v>58</v>
      </c>
      <c r="C21" s="6" t="s">
        <v>59</v>
      </c>
      <c r="D21" s="6"/>
      <c r="E21" s="6" t="s">
        <v>60</v>
      </c>
    </row>
    <row r="22" customFormat="false" ht="15" hidden="false" customHeight="false" outlineLevel="0" collapsed="false">
      <c r="A22" s="23" t="s">
        <v>41</v>
      </c>
      <c r="B22" s="31" t="n">
        <v>1</v>
      </c>
      <c r="C22" s="24" t="n">
        <v>46277</v>
      </c>
      <c r="E22" s="2" t="s">
        <v>61</v>
      </c>
    </row>
    <row r="25" customFormat="false" ht="15" hidden="false" customHeight="false" outlineLevel="0" collapsed="false">
      <c r="A25" s="21" t="s">
        <v>62</v>
      </c>
      <c r="E25" s="2" t="s">
        <v>63</v>
      </c>
    </row>
    <row r="26" customFormat="false" ht="30" hidden="false" customHeight="true" outlineLevel="0" collapsed="false">
      <c r="A26" s="6" t="s">
        <v>64</v>
      </c>
      <c r="B26" s="6" t="s">
        <v>65</v>
      </c>
      <c r="C26" s="6" t="s">
        <v>66</v>
      </c>
      <c r="D26" s="6" t="s">
        <v>11</v>
      </c>
      <c r="E26" s="6" t="s">
        <v>67</v>
      </c>
    </row>
    <row r="27" customFormat="false" ht="15" hidden="false" customHeight="false" outlineLevel="0" collapsed="false">
      <c r="A27" s="23" t="s">
        <v>68</v>
      </c>
      <c r="B27" s="23" t="s">
        <v>69</v>
      </c>
      <c r="C27" s="32" t="n">
        <v>0.8</v>
      </c>
      <c r="D27" s="23" t="s">
        <v>70</v>
      </c>
      <c r="E27" s="22" t="s">
        <v>71</v>
      </c>
    </row>
    <row r="28" customFormat="false" ht="15" hidden="false" customHeight="false" outlineLevel="0" collapsed="false">
      <c r="A28" s="23" t="s">
        <v>72</v>
      </c>
      <c r="B28" s="23" t="s">
        <v>73</v>
      </c>
      <c r="C28" s="32" t="n">
        <v>0.8627</v>
      </c>
      <c r="D28" s="23" t="s">
        <v>70</v>
      </c>
      <c r="E28" s="22" t="s">
        <v>74</v>
      </c>
    </row>
    <row r="29" customFormat="false" ht="15" hidden="false" customHeight="false" outlineLevel="0" collapsed="false">
      <c r="A29" s="23" t="s">
        <v>75</v>
      </c>
      <c r="B29" s="23" t="s">
        <v>76</v>
      </c>
      <c r="C29" s="32" t="n">
        <v>1</v>
      </c>
      <c r="D29" s="23" t="s">
        <v>70</v>
      </c>
      <c r="E29" s="22" t="s">
        <v>77</v>
      </c>
    </row>
    <row r="30" customFormat="false" ht="15" hidden="false" customHeight="false" outlineLevel="0" collapsed="false">
      <c r="A30" s="23" t="s">
        <v>78</v>
      </c>
      <c r="B30" s="23" t="s">
        <v>79</v>
      </c>
      <c r="C30" s="32" t="n">
        <v>1</v>
      </c>
      <c r="D30" s="23" t="s">
        <v>80</v>
      </c>
      <c r="E30" s="22" t="s">
        <v>81</v>
      </c>
    </row>
    <row r="31" customFormat="false" ht="15" hidden="false" customHeight="false" outlineLevel="0" collapsed="false">
      <c r="A31" s="23" t="s">
        <v>82</v>
      </c>
      <c r="B31" s="23" t="s">
        <v>83</v>
      </c>
      <c r="C31" s="32" t="n">
        <v>0.8281</v>
      </c>
      <c r="D31" s="23" t="s">
        <v>70</v>
      </c>
      <c r="E31" s="22" t="s">
        <v>84</v>
      </c>
    </row>
    <row r="32" customFormat="false" ht="15" hidden="false" customHeight="false" outlineLevel="0" collapsed="false">
      <c r="A32" s="23" t="s">
        <v>85</v>
      </c>
      <c r="B32" s="23" t="s">
        <v>86</v>
      </c>
      <c r="C32" s="32" t="n">
        <v>1</v>
      </c>
      <c r="D32" s="23" t="s">
        <v>80</v>
      </c>
      <c r="E32" s="22" t="s">
        <v>87</v>
      </c>
    </row>
    <row r="33" customFormat="false" ht="15" hidden="false" customHeight="false" outlineLevel="0" collapsed="false">
      <c r="A33" s="23" t="s">
        <v>88</v>
      </c>
      <c r="B33" s="23" t="s">
        <v>89</v>
      </c>
      <c r="C33" s="32" t="n">
        <v>0.5</v>
      </c>
      <c r="D33" s="23" t="s">
        <v>70</v>
      </c>
      <c r="E33" s="22" t="s">
        <v>90</v>
      </c>
    </row>
  </sheetData>
  <dataValidations count="2">
    <dataValidation allowBlank="false" errorStyle="stop" operator="between" showDropDown="false" showErrorMessage="false" showInputMessage="false" sqref="B11" type="list">
      <formula1>"total,pessoa"</formula1>
      <formula2>0</formula2>
    </dataValidation>
    <dataValidation allowBlank="false" errorStyle="stop" operator="between" showDropDown="false" showErrorMessage="false" showInputMessage="false" sqref="D27:D33" type="list">
      <formula1>"sim,não"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5"/>
    <col collapsed="false" customWidth="true" hidden="false" outlineLevel="0" max="3" min="3" style="0" width="44"/>
    <col collapsed="false" customWidth="true" hidden="false" outlineLevel="0" max="4" min="4" style="0" width="11"/>
    <col collapsed="false" customWidth="true" hidden="false" outlineLevel="0" max="5" min="5" style="0" width="5"/>
    <col collapsed="false" customWidth="true" hidden="false" outlineLevel="0" max="6" min="6" style="0" width="12"/>
    <col collapsed="false" customWidth="true" hidden="false" outlineLevel="0" max="7" min="7" style="0" width="7"/>
    <col collapsed="false" customWidth="true" hidden="false" outlineLevel="0" max="8" min="8" style="0" width="11"/>
    <col collapsed="false" customWidth="true" hidden="false" outlineLevel="0" max="9" min="9" style="0" width="13"/>
    <col collapsed="false" customWidth="true" hidden="false" outlineLevel="0" max="10" min="10" style="0" width="12"/>
    <col collapsed="false" customWidth="true" hidden="false" outlineLevel="0" max="12" min="11" style="0" width="13"/>
    <col collapsed="false" customWidth="true" hidden="false" outlineLevel="0" max="13" min="13" style="0" width="10"/>
    <col collapsed="false" customWidth="true" hidden="false" outlineLevel="0" max="14" min="14" style="0" width="11"/>
    <col collapsed="false" customWidth="true" hidden="false" outlineLevel="0" max="17" min="15" style="0" width="15"/>
    <col collapsed="false" customWidth="true" hidden="false" outlineLevel="0" max="18" min="18" style="0" width="16"/>
    <col collapsed="false" customWidth="true" hidden="false" outlineLevel="0" max="19" min="19" style="0" width="9"/>
    <col collapsed="false" customWidth="true" hidden="false" outlineLevel="0" max="20" min="20" style="0" width="5"/>
    <col collapsed="false" customWidth="true" hidden="false" outlineLevel="0" max="21" min="21" style="0" width="34"/>
    <col collapsed="false" customWidth="true" hidden="false" outlineLevel="0" max="23" min="22" style="0" width="40"/>
    <col collapsed="false" customWidth="true" hidden="false" outlineLevel="0" max="24" min="24" style="0" width="60"/>
  </cols>
  <sheetData>
    <row r="1" customFormat="false" ht="30" hidden="false" customHeight="true" outlineLevel="0" collapsed="false">
      <c r="A1" s="6" t="s">
        <v>64</v>
      </c>
      <c r="B1" s="6" t="s">
        <v>4</v>
      </c>
      <c r="C1" s="6" t="s">
        <v>91</v>
      </c>
      <c r="D1" s="6" t="s">
        <v>92</v>
      </c>
      <c r="E1" s="6" t="s">
        <v>93</v>
      </c>
      <c r="F1" s="6" t="s">
        <v>94</v>
      </c>
      <c r="G1" s="6" t="s">
        <v>57</v>
      </c>
      <c r="H1" s="6" t="s">
        <v>95</v>
      </c>
      <c r="I1" s="6" t="s">
        <v>96</v>
      </c>
      <c r="J1" s="6" t="s">
        <v>97</v>
      </c>
      <c r="K1" s="6" t="s">
        <v>98</v>
      </c>
      <c r="L1" s="6" t="s">
        <v>99</v>
      </c>
      <c r="M1" s="6" t="s">
        <v>100</v>
      </c>
      <c r="N1" s="6" t="s">
        <v>101</v>
      </c>
      <c r="O1" s="6" t="s">
        <v>102</v>
      </c>
      <c r="P1" s="6" t="s">
        <v>103</v>
      </c>
      <c r="Q1" s="6" t="s">
        <v>104</v>
      </c>
      <c r="R1" s="6" t="s">
        <v>105</v>
      </c>
      <c r="S1" s="6" t="s">
        <v>11</v>
      </c>
      <c r="T1" s="6" t="s">
        <v>106</v>
      </c>
      <c r="U1" s="6" t="s">
        <v>107</v>
      </c>
      <c r="V1" s="6" t="s">
        <v>108</v>
      </c>
      <c r="W1" s="6" t="s">
        <v>109</v>
      </c>
      <c r="X1" s="6" t="s">
        <v>110</v>
      </c>
    </row>
    <row r="2" customFormat="false" ht="15" hidden="false" customHeight="false" outlineLevel="0" collapsed="false">
      <c r="A2" s="23" t="s">
        <v>111</v>
      </c>
      <c r="B2" s="23" t="s">
        <v>68</v>
      </c>
      <c r="C2" s="23" t="s">
        <v>112</v>
      </c>
      <c r="D2" s="24" t="n">
        <v>46302</v>
      </c>
      <c r="E2" s="33" t="n">
        <v>1</v>
      </c>
      <c r="F2" s="23" t="s">
        <v>113</v>
      </c>
      <c r="G2" s="23" t="s">
        <v>41</v>
      </c>
      <c r="H2" s="34" t="s">
        <v>51</v>
      </c>
      <c r="I2" s="35" t="n">
        <v>40</v>
      </c>
      <c r="J2" s="35" t="n">
        <v>50</v>
      </c>
      <c r="K2" s="35" t="n">
        <v>82</v>
      </c>
      <c r="L2" s="18" t="n">
        <f aca="false">IF(H2="econômico",I2,IF(H2="upgrade",K2,J2))</f>
        <v>50</v>
      </c>
      <c r="M2" s="5" t="n">
        <f aca="false">E2*IF(OR(F2="pessoa",F2="pessoa-noite"),Parâmetros!$B$8,1)</f>
        <v>2</v>
      </c>
      <c r="N2" s="36" t="n">
        <f aca="false">IFERROR(INDEX(Parâmetros!$B$22:$B$22,MATCH(G2,Parâmetros!$A$22:$A$22,0)),1)*(1+IF(G2=Parâmetros!$B$9,0,Parâmetros!$B$14))</f>
        <v>1</v>
      </c>
      <c r="O2" s="10" t="n">
        <f aca="false">M2*I2*N2</f>
        <v>80</v>
      </c>
      <c r="P2" s="10" t="n">
        <f aca="false">M2*J2*N2</f>
        <v>100</v>
      </c>
      <c r="Q2" s="10" t="n">
        <f aca="false">M2*K2*N2</f>
        <v>164</v>
      </c>
      <c r="R2" s="18" t="n">
        <f aca="false">M2*L2*N2</f>
        <v>100</v>
      </c>
      <c r="S2" s="7" t="str">
        <f aca="false">IFERROR(INDEX(Parâmetros!$D$27:$D$33,MATCH(B2,Parâmetros!$A$27:$A$33,0)),"não")</f>
        <v>não</v>
      </c>
      <c r="T2" s="33"/>
      <c r="U2" s="37" t="s">
        <v>114</v>
      </c>
      <c r="V2" s="22" t="s">
        <v>115</v>
      </c>
      <c r="W2" s="22" t="s">
        <v>116</v>
      </c>
      <c r="X2" s="22" t="s">
        <v>117</v>
      </c>
    </row>
    <row r="3" customFormat="false" ht="15" hidden="false" customHeight="false" outlineLevel="0" collapsed="false">
      <c r="A3" s="23" t="s">
        <v>118</v>
      </c>
      <c r="B3" s="23" t="s">
        <v>68</v>
      </c>
      <c r="C3" s="23" t="s">
        <v>119</v>
      </c>
      <c r="D3" s="24" t="n">
        <v>46306</v>
      </c>
      <c r="E3" s="33" t="n">
        <v>1</v>
      </c>
      <c r="F3" s="23" t="s">
        <v>113</v>
      </c>
      <c r="G3" s="23" t="s">
        <v>41</v>
      </c>
      <c r="H3" s="34" t="s">
        <v>51</v>
      </c>
      <c r="I3" s="35" t="n">
        <v>40</v>
      </c>
      <c r="J3" s="35" t="n">
        <v>50</v>
      </c>
      <c r="K3" s="35" t="n">
        <v>82</v>
      </c>
      <c r="L3" s="18" t="n">
        <f aca="false">IF(H3="econômico",I3,IF(H3="upgrade",K3,J3))</f>
        <v>50</v>
      </c>
      <c r="M3" s="5" t="n">
        <f aca="false">E3*IF(OR(F3="pessoa",F3="pessoa-noite"),Parâmetros!$B$8,1)</f>
        <v>2</v>
      </c>
      <c r="N3" s="36" t="n">
        <f aca="false">IFERROR(INDEX(Parâmetros!$B$22:$B$22,MATCH(G3,Parâmetros!$A$22:$A$22,0)),1)*(1+IF(G3=Parâmetros!$B$9,0,Parâmetros!$B$14))</f>
        <v>1</v>
      </c>
      <c r="O3" s="10" t="n">
        <f aca="false">M3*I3*N3</f>
        <v>80</v>
      </c>
      <c r="P3" s="10" t="n">
        <f aca="false">M3*J3*N3</f>
        <v>100</v>
      </c>
      <c r="Q3" s="10" t="n">
        <f aca="false">M3*K3*N3</f>
        <v>164</v>
      </c>
      <c r="R3" s="18" t="n">
        <f aca="false">M3*L3*N3</f>
        <v>100</v>
      </c>
      <c r="S3" s="7" t="str">
        <f aca="false">IFERROR(INDEX(Parâmetros!$D$27:$D$33,MATCH(B3,Parâmetros!$A$27:$A$33,0)),"não")</f>
        <v>não</v>
      </c>
      <c r="T3" s="33"/>
      <c r="U3" s="37" t="s">
        <v>114</v>
      </c>
      <c r="V3" s="22" t="s">
        <v>115</v>
      </c>
      <c r="W3" s="22" t="s">
        <v>116</v>
      </c>
      <c r="X3" s="22" t="s">
        <v>117</v>
      </c>
    </row>
    <row r="4" customFormat="false" ht="15" hidden="false" customHeight="false" outlineLevel="0" collapsed="false">
      <c r="A4" s="23" t="s">
        <v>120</v>
      </c>
      <c r="B4" s="23" t="s">
        <v>72</v>
      </c>
      <c r="C4" s="23" t="s">
        <v>121</v>
      </c>
      <c r="D4" s="24" t="n">
        <v>46302</v>
      </c>
      <c r="E4" s="33" t="n">
        <v>3</v>
      </c>
      <c r="F4" s="23" t="s">
        <v>122</v>
      </c>
      <c r="G4" s="23" t="s">
        <v>41</v>
      </c>
      <c r="H4" s="34" t="s">
        <v>51</v>
      </c>
      <c r="I4" s="35" t="n">
        <v>105</v>
      </c>
      <c r="J4" s="35" t="n">
        <v>130</v>
      </c>
      <c r="K4" s="35" t="n">
        <v>175</v>
      </c>
      <c r="L4" s="18" t="n">
        <f aca="false">IF(H4="econômico",I4,IF(H4="upgrade",K4,J4))</f>
        <v>130</v>
      </c>
      <c r="M4" s="5" t="n">
        <f aca="false">E4*IF(OR(F4="pessoa",F4="pessoa-noite"),Parâmetros!$B$8,1)</f>
        <v>3</v>
      </c>
      <c r="N4" s="36" t="n">
        <f aca="false">IFERROR(INDEX(Parâmetros!$B$22:$B$22,MATCH(G4,Parâmetros!$A$22:$A$22,0)),1)*(1+IF(G4=Parâmetros!$B$9,0,Parâmetros!$B$14))</f>
        <v>1</v>
      </c>
      <c r="O4" s="10" t="n">
        <f aca="false">M4*I4*N4</f>
        <v>315</v>
      </c>
      <c r="P4" s="10" t="n">
        <f aca="false">M4*J4*N4</f>
        <v>390</v>
      </c>
      <c r="Q4" s="10" t="n">
        <f aca="false">M4*K4*N4</f>
        <v>525</v>
      </c>
      <c r="R4" s="18" t="n">
        <f aca="false">M4*L4*N4</f>
        <v>390</v>
      </c>
      <c r="S4" s="7" t="str">
        <f aca="false">IFERROR(INDEX(Parâmetros!$D$27:$D$33,MATCH(B4,Parâmetros!$A$27:$A$33,0)),"não")</f>
        <v>não</v>
      </c>
      <c r="T4" s="33"/>
      <c r="U4" s="37" t="s">
        <v>123</v>
      </c>
      <c r="V4" s="22" t="s">
        <v>124</v>
      </c>
      <c r="W4" s="22" t="s">
        <v>125</v>
      </c>
      <c r="X4" s="22" t="s">
        <v>126</v>
      </c>
    </row>
    <row r="5" customFormat="false" ht="15" hidden="false" customHeight="false" outlineLevel="0" collapsed="false">
      <c r="A5" s="23" t="s">
        <v>127</v>
      </c>
      <c r="B5" s="23" t="s">
        <v>72</v>
      </c>
      <c r="C5" s="23" t="s">
        <v>128</v>
      </c>
      <c r="D5" s="24" t="n">
        <v>46303</v>
      </c>
      <c r="E5" s="33" t="n">
        <v>1</v>
      </c>
      <c r="F5" s="23" t="s">
        <v>122</v>
      </c>
      <c r="G5" s="23" t="s">
        <v>41</v>
      </c>
      <c r="H5" s="34" t="s">
        <v>51</v>
      </c>
      <c r="I5" s="35" t="n">
        <v>70</v>
      </c>
      <c r="J5" s="35" t="n">
        <v>120</v>
      </c>
      <c r="K5" s="35" t="n">
        <v>260</v>
      </c>
      <c r="L5" s="18" t="n">
        <f aca="false">IF(H5="econômico",I5,IF(H5="upgrade",K5,J5))</f>
        <v>120</v>
      </c>
      <c r="M5" s="5" t="n">
        <f aca="false">E5*IF(OR(F5="pessoa",F5="pessoa-noite"),Parâmetros!$B$8,1)</f>
        <v>1</v>
      </c>
      <c r="N5" s="36" t="n">
        <f aca="false">IFERROR(INDEX(Parâmetros!$B$22:$B$22,MATCH(G5,Parâmetros!$A$22:$A$22,0)),1)*(1+IF(G5=Parâmetros!$B$9,0,Parâmetros!$B$14))</f>
        <v>1</v>
      </c>
      <c r="O5" s="10" t="n">
        <f aca="false">M5*I5*N5</f>
        <v>70</v>
      </c>
      <c r="P5" s="10" t="n">
        <f aca="false">M5*J5*N5</f>
        <v>120</v>
      </c>
      <c r="Q5" s="10" t="n">
        <f aca="false">M5*K5*N5</f>
        <v>260</v>
      </c>
      <c r="R5" s="18" t="n">
        <f aca="false">M5*L5*N5</f>
        <v>120</v>
      </c>
      <c r="S5" s="7" t="str">
        <f aca="false">IFERROR(INDEX(Parâmetros!$D$27:$D$33,MATCH(B5,Parâmetros!$A$27:$A$33,0)),"não")</f>
        <v>não</v>
      </c>
      <c r="T5" s="33"/>
      <c r="U5" s="37" t="s">
        <v>129</v>
      </c>
      <c r="V5" s="22" t="s">
        <v>130</v>
      </c>
      <c r="W5" s="22" t="s">
        <v>131</v>
      </c>
      <c r="X5" s="22" t="s">
        <v>132</v>
      </c>
    </row>
    <row r="6" customFormat="false" ht="15" hidden="false" customHeight="false" outlineLevel="0" collapsed="false">
      <c r="A6" s="23" t="s">
        <v>133</v>
      </c>
      <c r="B6" s="23" t="s">
        <v>75</v>
      </c>
      <c r="C6" s="23" t="s">
        <v>134</v>
      </c>
      <c r="D6" s="24" t="n">
        <v>46302</v>
      </c>
      <c r="E6" s="33" t="n">
        <v>3</v>
      </c>
      <c r="F6" s="23" t="s">
        <v>135</v>
      </c>
      <c r="G6" s="23" t="s">
        <v>41</v>
      </c>
      <c r="H6" s="34" t="s">
        <v>51</v>
      </c>
      <c r="I6" s="10" t="n">
        <f aca="false">J6*IFERROR(INDEX(Parâmetros!$C$27:$C$33,MATCH(B6,Parâmetros!$A$27:$A$33,0)),1)</f>
        <v>3.25</v>
      </c>
      <c r="J6" s="35" t="n">
        <v>3.25</v>
      </c>
      <c r="K6" s="10" t="n">
        <f aca="false">J6</f>
        <v>3.25</v>
      </c>
      <c r="L6" s="18" t="n">
        <f aca="false">IF(H6="econômico",I6,IF(H6="upgrade",K6,J6))</f>
        <v>3.25</v>
      </c>
      <c r="M6" s="5" t="n">
        <f aca="false">E6*IF(OR(F6="pessoa",F6="pessoa-noite"),Parâmetros!$B$8,1)</f>
        <v>6</v>
      </c>
      <c r="N6" s="36" t="n">
        <f aca="false">IFERROR(INDEX(Parâmetros!$B$22:$B$22,MATCH(G6,Parâmetros!$A$22:$A$22,0)),1)*(1+IF(G6=Parâmetros!$B$9,0,Parâmetros!$B$14))</f>
        <v>1</v>
      </c>
      <c r="O6" s="10" t="n">
        <f aca="false">M6*I6*N6</f>
        <v>19.5</v>
      </c>
      <c r="P6" s="10" t="n">
        <f aca="false">M6*J6*N6</f>
        <v>19.5</v>
      </c>
      <c r="Q6" s="10" t="n">
        <f aca="false">M6*K6*N6</f>
        <v>19.5</v>
      </c>
      <c r="R6" s="18" t="n">
        <f aca="false">M6*L6*N6</f>
        <v>19.5</v>
      </c>
      <c r="S6" s="7" t="str">
        <f aca="false">IFERROR(INDEX(Parâmetros!$D$27:$D$33,MATCH(B6,Parâmetros!$A$27:$A$33,0)),"não")</f>
        <v>não</v>
      </c>
      <c r="T6" s="33"/>
      <c r="V6" s="22" t="s">
        <v>136</v>
      </c>
      <c r="W6" s="22" t="s">
        <v>137</v>
      </c>
      <c r="X6" s="22" t="s">
        <v>138</v>
      </c>
    </row>
    <row r="7" customFormat="false" ht="15" hidden="false" customHeight="false" outlineLevel="0" collapsed="false">
      <c r="A7" s="23" t="s">
        <v>139</v>
      </c>
      <c r="B7" s="23" t="s">
        <v>75</v>
      </c>
      <c r="C7" s="23" t="s">
        <v>140</v>
      </c>
      <c r="D7" s="24" t="n">
        <v>46303</v>
      </c>
      <c r="E7" s="33" t="n">
        <v>1</v>
      </c>
      <c r="F7" s="23" t="s">
        <v>135</v>
      </c>
      <c r="G7" s="23" t="s">
        <v>41</v>
      </c>
      <c r="H7" s="34" t="s">
        <v>51</v>
      </c>
      <c r="I7" s="10" t="n">
        <f aca="false">J7*IFERROR(INDEX(Parâmetros!$C$27:$C$33,MATCH(B7,Parâmetros!$A$27:$A$33,0)),1)</f>
        <v>1.5</v>
      </c>
      <c r="J7" s="35" t="n">
        <v>1.5</v>
      </c>
      <c r="K7" s="10" t="n">
        <f aca="false">J7</f>
        <v>1.5</v>
      </c>
      <c r="L7" s="18" t="n">
        <f aca="false">IF(H7="econômico",I7,IF(H7="upgrade",K7,J7))</f>
        <v>1.5</v>
      </c>
      <c r="M7" s="5" t="n">
        <f aca="false">E7*IF(OR(F7="pessoa",F7="pessoa-noite"),Parâmetros!$B$8,1)</f>
        <v>2</v>
      </c>
      <c r="N7" s="36" t="n">
        <f aca="false">IFERROR(INDEX(Parâmetros!$B$22:$B$22,MATCH(G7,Parâmetros!$A$22:$A$22,0)),1)*(1+IF(G7=Parâmetros!$B$9,0,Parâmetros!$B$14))</f>
        <v>1</v>
      </c>
      <c r="O7" s="10" t="n">
        <f aca="false">M7*I7*N7</f>
        <v>3</v>
      </c>
      <c r="P7" s="10" t="n">
        <f aca="false">M7*J7*N7</f>
        <v>3</v>
      </c>
      <c r="Q7" s="10" t="n">
        <f aca="false">M7*K7*N7</f>
        <v>3</v>
      </c>
      <c r="R7" s="18" t="n">
        <f aca="false">M7*L7*N7</f>
        <v>3</v>
      </c>
      <c r="S7" s="7" t="str">
        <f aca="false">IFERROR(INDEX(Parâmetros!$D$27:$D$33,MATCH(B7,Parâmetros!$A$27:$A$33,0)),"não")</f>
        <v>não</v>
      </c>
      <c r="T7" s="33"/>
      <c r="V7" s="22" t="s">
        <v>136</v>
      </c>
      <c r="W7" s="22" t="s">
        <v>137</v>
      </c>
      <c r="X7" s="22" t="s">
        <v>138</v>
      </c>
    </row>
    <row r="8" customFormat="false" ht="15" hidden="false" customHeight="false" outlineLevel="0" collapsed="false">
      <c r="A8" s="38" t="s">
        <v>141</v>
      </c>
      <c r="B8" s="38" t="s">
        <v>75</v>
      </c>
      <c r="C8" s="38" t="s">
        <v>142</v>
      </c>
      <c r="D8" s="39"/>
      <c r="E8" s="40" t="n">
        <v>1</v>
      </c>
      <c r="F8" s="38" t="s">
        <v>44</v>
      </c>
      <c r="G8" s="38" t="s">
        <v>41</v>
      </c>
      <c r="H8" s="41" t="s">
        <v>51</v>
      </c>
      <c r="I8" s="42" t="n">
        <f aca="false">J8*IFERROR(INDEX(Parâmetros!$C$27:$C$33,MATCH(B8,Parâmetros!$A$27:$A$33,0)),1)</f>
        <v>0.5</v>
      </c>
      <c r="J8" s="43" t="n">
        <v>0.5</v>
      </c>
      <c r="K8" s="42" t="n">
        <f aca="false">J8</f>
        <v>0.5</v>
      </c>
      <c r="L8" s="18" t="n">
        <f aca="false">IF(H8="econômico",I8,IF(H8="upgrade",K8,J8))</f>
        <v>0.5</v>
      </c>
      <c r="M8" s="5" t="n">
        <f aca="false">E8*IF(OR(F8="pessoa",F8="pessoa-noite"),Parâmetros!$B$8,1)</f>
        <v>1</v>
      </c>
      <c r="N8" s="36" t="n">
        <f aca="false">IFERROR(INDEX(Parâmetros!$B$22:$B$22,MATCH(G8,Parâmetros!$A$22:$A$22,0)),1)*(1+IF(G8=Parâmetros!$B$9,0,Parâmetros!$B$14))</f>
        <v>1</v>
      </c>
      <c r="O8" s="10" t="n">
        <f aca="false">M8*I8*N8</f>
        <v>0.5</v>
      </c>
      <c r="P8" s="10" t="n">
        <f aca="false">M8*J8*N8</f>
        <v>0.5</v>
      </c>
      <c r="Q8" s="10" t="n">
        <f aca="false">M8*K8*N8</f>
        <v>0.5</v>
      </c>
      <c r="R8" s="18" t="n">
        <f aca="false">M8*L8*N8</f>
        <v>0.5</v>
      </c>
      <c r="S8" s="7" t="str">
        <f aca="false">IFERROR(INDEX(Parâmetros!$D$27:$D$33,MATCH(B8,Parâmetros!$A$27:$A$33,0)),"não")</f>
        <v>não</v>
      </c>
      <c r="T8" s="33"/>
      <c r="V8" s="22"/>
      <c r="W8" s="22"/>
      <c r="X8" s="22" t="s">
        <v>77</v>
      </c>
    </row>
    <row r="9" customFormat="false" ht="15" hidden="false" customHeight="false" outlineLevel="0" collapsed="false">
      <c r="A9" s="23" t="s">
        <v>143</v>
      </c>
      <c r="B9" s="23" t="s">
        <v>78</v>
      </c>
      <c r="C9" s="23" t="s">
        <v>144</v>
      </c>
      <c r="D9" s="24" t="n">
        <v>46302</v>
      </c>
      <c r="E9" s="33" t="n">
        <v>1</v>
      </c>
      <c r="F9" s="23" t="s">
        <v>113</v>
      </c>
      <c r="G9" s="23" t="s">
        <v>41</v>
      </c>
      <c r="H9" s="34" t="s">
        <v>51</v>
      </c>
      <c r="I9" s="35" t="n">
        <v>5.4</v>
      </c>
      <c r="J9" s="35" t="n">
        <v>9</v>
      </c>
      <c r="K9" s="35" t="n">
        <v>16.2</v>
      </c>
      <c r="L9" s="18" t="n">
        <f aca="false">IF(H9="econômico",I9,IF(H9="upgrade",K9,J9))</f>
        <v>9</v>
      </c>
      <c r="M9" s="5" t="n">
        <f aca="false">E9*IF(OR(F9="pessoa",F9="pessoa-noite"),Parâmetros!$B$8,1)</f>
        <v>2</v>
      </c>
      <c r="N9" s="36" t="n">
        <f aca="false">IFERROR(INDEX(Parâmetros!$B$22:$B$22,MATCH(G9,Parâmetros!$A$22:$A$22,0)),1)*(1+IF(G9=Parâmetros!$B$9,0,Parâmetros!$B$14))</f>
        <v>1</v>
      </c>
      <c r="O9" s="10" t="n">
        <f aca="false">M9*I9*N9</f>
        <v>10.8</v>
      </c>
      <c r="P9" s="10" t="n">
        <f aca="false">M9*J9*N9</f>
        <v>18</v>
      </c>
      <c r="Q9" s="10" t="n">
        <f aca="false">M9*K9*N9</f>
        <v>32.4</v>
      </c>
      <c r="R9" s="18" t="n">
        <f aca="false">M9*L9*N9</f>
        <v>18</v>
      </c>
      <c r="S9" s="7" t="str">
        <f aca="false">IFERROR(INDEX(Parâmetros!$D$27:$D$33,MATCH(B9,Parâmetros!$A$27:$A$33,0)),"não")</f>
        <v>sim</v>
      </c>
      <c r="T9" s="33" t="n">
        <v>1</v>
      </c>
      <c r="V9" s="22" t="s">
        <v>145</v>
      </c>
      <c r="W9" s="22" t="s">
        <v>146</v>
      </c>
      <c r="X9" s="22"/>
    </row>
    <row r="10" customFormat="false" ht="15" hidden="false" customHeight="false" outlineLevel="0" collapsed="false">
      <c r="A10" s="23" t="s">
        <v>147</v>
      </c>
      <c r="B10" s="23" t="s">
        <v>78</v>
      </c>
      <c r="C10" s="23" t="s">
        <v>148</v>
      </c>
      <c r="D10" s="24" t="n">
        <v>46302</v>
      </c>
      <c r="E10" s="33" t="n">
        <v>1</v>
      </c>
      <c r="F10" s="23" t="s">
        <v>113</v>
      </c>
      <c r="G10" s="23" t="s">
        <v>41</v>
      </c>
      <c r="H10" s="34" t="s">
        <v>51</v>
      </c>
      <c r="I10" s="35" t="n">
        <v>9</v>
      </c>
      <c r="J10" s="35" t="n">
        <v>19</v>
      </c>
      <c r="K10" s="35" t="n">
        <v>35</v>
      </c>
      <c r="L10" s="18" t="n">
        <f aca="false">IF(H10="econômico",I10,IF(H10="upgrade",K10,J10))</f>
        <v>19</v>
      </c>
      <c r="M10" s="5" t="n">
        <f aca="false">E10*IF(OR(F10="pessoa",F10="pessoa-noite"),Parâmetros!$B$8,1)</f>
        <v>2</v>
      </c>
      <c r="N10" s="36" t="n">
        <f aca="false">IFERROR(INDEX(Parâmetros!$B$22:$B$22,MATCH(G10,Parâmetros!$A$22:$A$22,0)),1)*(1+IF(G10=Parâmetros!$B$9,0,Parâmetros!$B$14))</f>
        <v>1</v>
      </c>
      <c r="O10" s="10" t="n">
        <f aca="false">M10*I10*N10</f>
        <v>18</v>
      </c>
      <c r="P10" s="10" t="n">
        <f aca="false">M10*J10*N10</f>
        <v>38</v>
      </c>
      <c r="Q10" s="10" t="n">
        <f aca="false">M10*K10*N10</f>
        <v>70</v>
      </c>
      <c r="R10" s="18" t="n">
        <f aca="false">M10*L10*N10</f>
        <v>38</v>
      </c>
      <c r="S10" s="7" t="str">
        <f aca="false">IFERROR(INDEX(Parâmetros!$D$27:$D$33,MATCH(B10,Parâmetros!$A$27:$A$33,0)),"não")</f>
        <v>sim</v>
      </c>
      <c r="T10" s="33" t="n">
        <v>1</v>
      </c>
      <c r="U10" s="37" t="s">
        <v>149</v>
      </c>
      <c r="V10" s="22" t="s">
        <v>150</v>
      </c>
      <c r="W10" s="22" t="s">
        <v>151</v>
      </c>
      <c r="X10" s="22" t="s">
        <v>152</v>
      </c>
    </row>
    <row r="11" customFormat="false" ht="15" hidden="false" customHeight="false" outlineLevel="0" collapsed="false">
      <c r="A11" s="23" t="s">
        <v>153</v>
      </c>
      <c r="B11" s="23" t="s">
        <v>78</v>
      </c>
      <c r="C11" s="23" t="s">
        <v>154</v>
      </c>
      <c r="D11" s="24" t="n">
        <v>46303</v>
      </c>
      <c r="E11" s="33" t="n">
        <v>1</v>
      </c>
      <c r="F11" s="23" t="s">
        <v>113</v>
      </c>
      <c r="G11" s="23" t="s">
        <v>41</v>
      </c>
      <c r="H11" s="34" t="s">
        <v>51</v>
      </c>
      <c r="I11" s="35" t="n">
        <v>15</v>
      </c>
      <c r="J11" s="35" t="n">
        <v>25</v>
      </c>
      <c r="K11" s="35" t="n">
        <v>45</v>
      </c>
      <c r="L11" s="18" t="n">
        <f aca="false">IF(H11="econômico",I11,IF(H11="upgrade",K11,J11))</f>
        <v>25</v>
      </c>
      <c r="M11" s="5" t="n">
        <f aca="false">E11*IF(OR(F11="pessoa",F11="pessoa-noite"),Parâmetros!$B$8,1)</f>
        <v>2</v>
      </c>
      <c r="N11" s="36" t="n">
        <f aca="false">IFERROR(INDEX(Parâmetros!$B$22:$B$22,MATCH(G11,Parâmetros!$A$22:$A$22,0)),1)*(1+IF(G11=Parâmetros!$B$9,0,Parâmetros!$B$14))</f>
        <v>1</v>
      </c>
      <c r="O11" s="10" t="n">
        <f aca="false">M11*I11*N11</f>
        <v>30</v>
      </c>
      <c r="P11" s="10" t="n">
        <f aca="false">M11*J11*N11</f>
        <v>50</v>
      </c>
      <c r="Q11" s="10" t="n">
        <f aca="false">M11*K11*N11</f>
        <v>90</v>
      </c>
      <c r="R11" s="18" t="n">
        <f aca="false">M11*L11*N11</f>
        <v>50</v>
      </c>
      <c r="S11" s="7" t="str">
        <f aca="false">IFERROR(INDEX(Parâmetros!$D$27:$D$33,MATCH(B11,Parâmetros!$A$27:$A$33,0)),"não")</f>
        <v>sim</v>
      </c>
      <c r="T11" s="33" t="n">
        <v>2</v>
      </c>
      <c r="V11" s="22" t="s">
        <v>145</v>
      </c>
      <c r="W11" s="22" t="s">
        <v>146</v>
      </c>
      <c r="X11" s="22"/>
    </row>
    <row r="12" customFormat="false" ht="15" hidden="false" customHeight="false" outlineLevel="0" collapsed="false">
      <c r="A12" s="23" t="s">
        <v>155</v>
      </c>
      <c r="B12" s="23" t="s">
        <v>78</v>
      </c>
      <c r="C12" s="23" t="s">
        <v>156</v>
      </c>
      <c r="D12" s="24" t="n">
        <v>46304</v>
      </c>
      <c r="E12" s="33" t="n">
        <v>1</v>
      </c>
      <c r="F12" s="23" t="s">
        <v>113</v>
      </c>
      <c r="G12" s="23" t="s">
        <v>41</v>
      </c>
      <c r="H12" s="34" t="s">
        <v>51</v>
      </c>
      <c r="I12" s="35" t="n">
        <v>10.8</v>
      </c>
      <c r="J12" s="35" t="n">
        <v>18</v>
      </c>
      <c r="K12" s="35" t="n">
        <v>32.4</v>
      </c>
      <c r="L12" s="18" t="n">
        <f aca="false">IF(H12="econômico",I12,IF(H12="upgrade",K12,J12))</f>
        <v>18</v>
      </c>
      <c r="M12" s="5" t="n">
        <f aca="false">E12*IF(OR(F12="pessoa",F12="pessoa-noite"),Parâmetros!$B$8,1)</f>
        <v>2</v>
      </c>
      <c r="N12" s="36" t="n">
        <f aca="false">IFERROR(INDEX(Parâmetros!$B$22:$B$22,MATCH(G12,Parâmetros!$A$22:$A$22,0)),1)*(1+IF(G12=Parâmetros!$B$9,0,Parâmetros!$B$14))</f>
        <v>1</v>
      </c>
      <c r="O12" s="10" t="n">
        <f aca="false">M12*I12*N12</f>
        <v>21.6</v>
      </c>
      <c r="P12" s="10" t="n">
        <f aca="false">M12*J12*N12</f>
        <v>36</v>
      </c>
      <c r="Q12" s="10" t="n">
        <f aca="false">M12*K12*N12</f>
        <v>64.8</v>
      </c>
      <c r="R12" s="18" t="n">
        <f aca="false">M12*L12*N12</f>
        <v>36</v>
      </c>
      <c r="S12" s="7" t="str">
        <f aca="false">IFERROR(INDEX(Parâmetros!$D$27:$D$33,MATCH(B12,Parâmetros!$A$27:$A$33,0)),"não")</f>
        <v>sim</v>
      </c>
      <c r="T12" s="33" t="n">
        <v>3</v>
      </c>
      <c r="V12" s="22" t="s">
        <v>145</v>
      </c>
      <c r="W12" s="22" t="s">
        <v>146</v>
      </c>
      <c r="X12" s="22"/>
    </row>
    <row r="13" customFormat="false" ht="15" hidden="false" customHeight="false" outlineLevel="0" collapsed="false">
      <c r="A13" s="23" t="s">
        <v>157</v>
      </c>
      <c r="B13" s="23" t="s">
        <v>78</v>
      </c>
      <c r="C13" s="23" t="s">
        <v>154</v>
      </c>
      <c r="D13" s="24" t="n">
        <v>46304</v>
      </c>
      <c r="E13" s="33" t="n">
        <v>1</v>
      </c>
      <c r="F13" s="23" t="s">
        <v>113</v>
      </c>
      <c r="G13" s="23" t="s">
        <v>41</v>
      </c>
      <c r="H13" s="34" t="s">
        <v>51</v>
      </c>
      <c r="I13" s="35" t="n">
        <v>15</v>
      </c>
      <c r="J13" s="35" t="n">
        <v>25</v>
      </c>
      <c r="K13" s="35" t="n">
        <v>45</v>
      </c>
      <c r="L13" s="18" t="n">
        <f aca="false">IF(H13="econômico",I13,IF(H13="upgrade",K13,J13))</f>
        <v>25</v>
      </c>
      <c r="M13" s="5" t="n">
        <f aca="false">E13*IF(OR(F13="pessoa",F13="pessoa-noite"),Parâmetros!$B$8,1)</f>
        <v>2</v>
      </c>
      <c r="N13" s="36" t="n">
        <f aca="false">IFERROR(INDEX(Parâmetros!$B$22:$B$22,MATCH(G13,Parâmetros!$A$22:$A$22,0)),1)*(1+IF(G13=Parâmetros!$B$9,0,Parâmetros!$B$14))</f>
        <v>1</v>
      </c>
      <c r="O13" s="10" t="n">
        <f aca="false">M13*I13*N13</f>
        <v>30</v>
      </c>
      <c r="P13" s="10" t="n">
        <f aca="false">M13*J13*N13</f>
        <v>50</v>
      </c>
      <c r="Q13" s="10" t="n">
        <f aca="false">M13*K13*N13</f>
        <v>90</v>
      </c>
      <c r="R13" s="18" t="n">
        <f aca="false">M13*L13*N13</f>
        <v>50</v>
      </c>
      <c r="S13" s="7" t="str">
        <f aca="false">IFERROR(INDEX(Parâmetros!$D$27:$D$33,MATCH(B13,Parâmetros!$A$27:$A$33,0)),"não")</f>
        <v>sim</v>
      </c>
      <c r="T13" s="33" t="n">
        <v>3</v>
      </c>
      <c r="V13" s="22" t="s">
        <v>145</v>
      </c>
      <c r="W13" s="22" t="s">
        <v>146</v>
      </c>
      <c r="X13" s="22"/>
    </row>
    <row r="14" customFormat="false" ht="15" hidden="false" customHeight="false" outlineLevel="0" collapsed="false">
      <c r="A14" s="23" t="s">
        <v>158</v>
      </c>
      <c r="B14" s="23" t="s">
        <v>78</v>
      </c>
      <c r="C14" s="23" t="s">
        <v>159</v>
      </c>
      <c r="D14" s="24" t="n">
        <v>46305</v>
      </c>
      <c r="E14" s="33" t="n">
        <v>1</v>
      </c>
      <c r="F14" s="23" t="s">
        <v>113</v>
      </c>
      <c r="G14" s="23" t="s">
        <v>41</v>
      </c>
      <c r="H14" s="34" t="s">
        <v>51</v>
      </c>
      <c r="I14" s="35" t="n">
        <v>13.2</v>
      </c>
      <c r="J14" s="35" t="n">
        <v>22</v>
      </c>
      <c r="K14" s="35" t="n">
        <v>39.6</v>
      </c>
      <c r="L14" s="18" t="n">
        <f aca="false">IF(H14="econômico",I14,IF(H14="upgrade",K14,J14))</f>
        <v>22</v>
      </c>
      <c r="M14" s="5" t="n">
        <f aca="false">E14*IF(OR(F14="pessoa",F14="pessoa-noite"),Parâmetros!$B$8,1)</f>
        <v>2</v>
      </c>
      <c r="N14" s="36" t="n">
        <f aca="false">IFERROR(INDEX(Parâmetros!$B$22:$B$22,MATCH(G14,Parâmetros!$A$22:$A$22,0)),1)*(1+IF(G14=Parâmetros!$B$9,0,Parâmetros!$B$14))</f>
        <v>1</v>
      </c>
      <c r="O14" s="10" t="n">
        <f aca="false">M14*I14*N14</f>
        <v>26.4</v>
      </c>
      <c r="P14" s="10" t="n">
        <f aca="false">M14*J14*N14</f>
        <v>44</v>
      </c>
      <c r="Q14" s="10" t="n">
        <f aca="false">M14*K14*N14</f>
        <v>79.2</v>
      </c>
      <c r="R14" s="18" t="n">
        <f aca="false">M14*L14*N14</f>
        <v>44</v>
      </c>
      <c r="S14" s="7" t="str">
        <f aca="false">IFERROR(INDEX(Parâmetros!$D$27:$D$33,MATCH(B14,Parâmetros!$A$27:$A$33,0)),"não")</f>
        <v>sim</v>
      </c>
      <c r="T14" s="33" t="n">
        <v>4</v>
      </c>
      <c r="V14" s="22" t="s">
        <v>145</v>
      </c>
      <c r="W14" s="22" t="s">
        <v>146</v>
      </c>
      <c r="X14" s="22"/>
    </row>
    <row r="15" customFormat="false" ht="15" hidden="false" customHeight="false" outlineLevel="0" collapsed="false">
      <c r="A15" s="23" t="s">
        <v>160</v>
      </c>
      <c r="B15" s="23" t="s">
        <v>78</v>
      </c>
      <c r="C15" s="23" t="s">
        <v>161</v>
      </c>
      <c r="D15" s="24" t="n">
        <v>46305</v>
      </c>
      <c r="E15" s="33" t="n">
        <v>1</v>
      </c>
      <c r="F15" s="23" t="s">
        <v>113</v>
      </c>
      <c r="G15" s="23" t="s">
        <v>41</v>
      </c>
      <c r="H15" s="34" t="s">
        <v>51</v>
      </c>
      <c r="I15" s="35" t="n">
        <v>6</v>
      </c>
      <c r="J15" s="35" t="n">
        <v>10</v>
      </c>
      <c r="K15" s="35" t="n">
        <v>18</v>
      </c>
      <c r="L15" s="18" t="n">
        <f aca="false">IF(H15="econômico",I15,IF(H15="upgrade",K15,J15))</f>
        <v>10</v>
      </c>
      <c r="M15" s="5" t="n">
        <f aca="false">E15*IF(OR(F15="pessoa",F15="pessoa-noite"),Parâmetros!$B$8,1)</f>
        <v>2</v>
      </c>
      <c r="N15" s="36" t="n">
        <f aca="false">IFERROR(INDEX(Parâmetros!$B$22:$B$22,MATCH(G15,Parâmetros!$A$22:$A$22,0)),1)*(1+IF(G15=Parâmetros!$B$9,0,Parâmetros!$B$14))</f>
        <v>1</v>
      </c>
      <c r="O15" s="10" t="n">
        <f aca="false">M15*I15*N15</f>
        <v>12</v>
      </c>
      <c r="P15" s="10" t="n">
        <f aca="false">M15*J15*N15</f>
        <v>20</v>
      </c>
      <c r="Q15" s="10" t="n">
        <f aca="false">M15*K15*N15</f>
        <v>36</v>
      </c>
      <c r="R15" s="18" t="n">
        <f aca="false">M15*L15*N15</f>
        <v>20</v>
      </c>
      <c r="S15" s="7" t="str">
        <f aca="false">IFERROR(INDEX(Parâmetros!$D$27:$D$33,MATCH(B15,Parâmetros!$A$27:$A$33,0)),"não")</f>
        <v>sim</v>
      </c>
      <c r="T15" s="33" t="n">
        <v>4</v>
      </c>
      <c r="V15" s="22" t="s">
        <v>145</v>
      </c>
      <c r="W15" s="22" t="s">
        <v>146</v>
      </c>
      <c r="X15" s="22"/>
    </row>
    <row r="16" customFormat="false" ht="15" hidden="false" customHeight="false" outlineLevel="0" collapsed="false">
      <c r="A16" s="23" t="s">
        <v>162</v>
      </c>
      <c r="B16" s="23" t="s">
        <v>78</v>
      </c>
      <c r="C16" s="23" t="s">
        <v>163</v>
      </c>
      <c r="D16" s="24" t="n">
        <v>46306</v>
      </c>
      <c r="E16" s="33" t="n">
        <v>1</v>
      </c>
      <c r="F16" s="23" t="s">
        <v>113</v>
      </c>
      <c r="G16" s="23" t="s">
        <v>41</v>
      </c>
      <c r="H16" s="34" t="s">
        <v>51</v>
      </c>
      <c r="I16" s="35" t="n">
        <v>10</v>
      </c>
      <c r="J16" s="35" t="n">
        <v>15</v>
      </c>
      <c r="K16" s="35" t="n">
        <v>25</v>
      </c>
      <c r="L16" s="18" t="n">
        <f aca="false">IF(H16="econômico",I16,IF(H16="upgrade",K16,J16))</f>
        <v>15</v>
      </c>
      <c r="M16" s="5" t="n">
        <f aca="false">E16*IF(OR(F16="pessoa",F16="pessoa-noite"),Parâmetros!$B$8,1)</f>
        <v>2</v>
      </c>
      <c r="N16" s="36" t="n">
        <f aca="false">IFERROR(INDEX(Parâmetros!$B$22:$B$22,MATCH(G16,Parâmetros!$A$22:$A$22,0)),1)*(1+IF(G16=Parâmetros!$B$9,0,Parâmetros!$B$14))</f>
        <v>1</v>
      </c>
      <c r="O16" s="10" t="n">
        <f aca="false">M16*I16*N16</f>
        <v>20</v>
      </c>
      <c r="P16" s="10" t="n">
        <f aca="false">M16*J16*N16</f>
        <v>30</v>
      </c>
      <c r="Q16" s="10" t="n">
        <f aca="false">M16*K16*N16</f>
        <v>50</v>
      </c>
      <c r="R16" s="18" t="n">
        <f aca="false">M16*L16*N16</f>
        <v>30</v>
      </c>
      <c r="S16" s="7" t="str">
        <f aca="false">IFERROR(INDEX(Parâmetros!$D$27:$D$33,MATCH(B16,Parâmetros!$A$27:$A$33,0)),"não")</f>
        <v>sim</v>
      </c>
      <c r="T16" s="33" t="n">
        <v>5</v>
      </c>
      <c r="U16" s="37" t="s">
        <v>164</v>
      </c>
      <c r="V16" s="22" t="s">
        <v>165</v>
      </c>
      <c r="W16" s="22" t="s">
        <v>166</v>
      </c>
      <c r="X16" s="22" t="s">
        <v>167</v>
      </c>
    </row>
    <row r="17" customFormat="false" ht="15" hidden="false" customHeight="false" outlineLevel="0" collapsed="false">
      <c r="A17" s="38" t="s">
        <v>168</v>
      </c>
      <c r="B17" s="38" t="s">
        <v>78</v>
      </c>
      <c r="C17" s="38" t="s">
        <v>169</v>
      </c>
      <c r="D17" s="39"/>
      <c r="E17" s="40" t="n">
        <v>1</v>
      </c>
      <c r="F17" s="38" t="s">
        <v>44</v>
      </c>
      <c r="G17" s="38" t="s">
        <v>41</v>
      </c>
      <c r="H17" s="41" t="s">
        <v>51</v>
      </c>
      <c r="I17" s="42" t="n">
        <f aca="false">J17*IFERROR(INDEX(Parâmetros!$C$27:$C$33,MATCH(B17,Parâmetros!$A$27:$A$33,0)),1)</f>
        <v>94</v>
      </c>
      <c r="J17" s="43" t="n">
        <v>94</v>
      </c>
      <c r="K17" s="42" t="n">
        <f aca="false">J17</f>
        <v>94</v>
      </c>
      <c r="L17" s="18" t="n">
        <f aca="false">IF(H17="econômico",I17,IF(H17="upgrade",K17,J17))</f>
        <v>94</v>
      </c>
      <c r="M17" s="5" t="n">
        <f aca="false">E17*IF(OR(F17="pessoa",F17="pessoa-noite"),Parâmetros!$B$8,1)</f>
        <v>1</v>
      </c>
      <c r="N17" s="36" t="n">
        <f aca="false">IFERROR(INDEX(Parâmetros!$B$22:$B$22,MATCH(G17,Parâmetros!$A$22:$A$22,0)),1)*(1+IF(G17=Parâmetros!$B$9,0,Parâmetros!$B$14))</f>
        <v>1</v>
      </c>
      <c r="O17" s="10" t="n">
        <f aca="false">M17*I17*N17</f>
        <v>94</v>
      </c>
      <c r="P17" s="10" t="n">
        <f aca="false">M17*J17*N17</f>
        <v>94</v>
      </c>
      <c r="Q17" s="10" t="n">
        <f aca="false">M17*K17*N17</f>
        <v>94</v>
      </c>
      <c r="R17" s="18" t="n">
        <f aca="false">M17*L17*N17</f>
        <v>94</v>
      </c>
      <c r="S17" s="7" t="str">
        <f aca="false">IFERROR(INDEX(Parâmetros!$D$27:$D$33,MATCH(B17,Parâmetros!$A$27:$A$33,0)),"não")</f>
        <v>sim</v>
      </c>
      <c r="T17" s="33"/>
      <c r="V17" s="22"/>
      <c r="W17" s="22"/>
      <c r="X17" s="22" t="s">
        <v>81</v>
      </c>
    </row>
    <row r="18" customFormat="false" ht="15" hidden="false" customHeight="false" outlineLevel="0" collapsed="false">
      <c r="A18" s="23" t="s">
        <v>170</v>
      </c>
      <c r="B18" s="23" t="s">
        <v>82</v>
      </c>
      <c r="C18" s="23" t="s">
        <v>171</v>
      </c>
      <c r="D18" s="24"/>
      <c r="E18" s="33" t="n">
        <v>1</v>
      </c>
      <c r="F18" s="23" t="s">
        <v>113</v>
      </c>
      <c r="G18" s="23" t="s">
        <v>41</v>
      </c>
      <c r="H18" s="34" t="s">
        <v>51</v>
      </c>
      <c r="I18" s="35" t="n">
        <v>20</v>
      </c>
      <c r="J18" s="35" t="n">
        <v>31</v>
      </c>
      <c r="K18" s="35" t="n">
        <v>37</v>
      </c>
      <c r="L18" s="18" t="n">
        <f aca="false">IF(H18="econômico",I18,IF(H18="upgrade",K18,J18))</f>
        <v>31</v>
      </c>
      <c r="M18" s="5" t="n">
        <f aca="false">E18*IF(OR(F18="pessoa",F18="pessoa-noite"),Parâmetros!$B$8,1)</f>
        <v>2</v>
      </c>
      <c r="N18" s="36" t="n">
        <f aca="false">IFERROR(INDEX(Parâmetros!$B$22:$B$22,MATCH(G18,Parâmetros!$A$22:$A$22,0)),1)*(1+IF(G18=Parâmetros!$B$9,0,Parâmetros!$B$14))</f>
        <v>1</v>
      </c>
      <c r="O18" s="10" t="n">
        <f aca="false">M18*I18*N18</f>
        <v>40</v>
      </c>
      <c r="P18" s="10" t="n">
        <f aca="false">M18*J18*N18</f>
        <v>62</v>
      </c>
      <c r="Q18" s="10" t="n">
        <f aca="false">M18*K18*N18</f>
        <v>74</v>
      </c>
      <c r="R18" s="18" t="n">
        <f aca="false">M18*L18*N18</f>
        <v>62</v>
      </c>
      <c r="S18" s="7" t="str">
        <f aca="false">IFERROR(INDEX(Parâmetros!$D$27:$D$33,MATCH(B18,Parâmetros!$A$27:$A$33,0)),"não")</f>
        <v>não</v>
      </c>
      <c r="T18" s="33"/>
      <c r="U18" s="37" t="s">
        <v>172</v>
      </c>
      <c r="V18" s="22" t="s">
        <v>173</v>
      </c>
      <c r="W18" s="22" t="s">
        <v>174</v>
      </c>
      <c r="X18" s="22" t="s">
        <v>175</v>
      </c>
    </row>
    <row r="19" customFormat="false" ht="15" hidden="false" customHeight="false" outlineLevel="0" collapsed="false">
      <c r="A19" s="23" t="s">
        <v>176</v>
      </c>
      <c r="B19" s="23" t="s">
        <v>82</v>
      </c>
      <c r="C19" s="23" t="s">
        <v>177</v>
      </c>
      <c r="D19" s="24"/>
      <c r="E19" s="33" t="n">
        <v>1</v>
      </c>
      <c r="F19" s="23" t="s">
        <v>113</v>
      </c>
      <c r="G19" s="23" t="s">
        <v>41</v>
      </c>
      <c r="H19" s="34" t="s">
        <v>51</v>
      </c>
      <c r="I19" s="35" t="n">
        <v>28</v>
      </c>
      <c r="J19" s="35" t="n">
        <v>28</v>
      </c>
      <c r="K19" s="35" t="n">
        <v>90</v>
      </c>
      <c r="L19" s="18" t="n">
        <f aca="false">IF(H19="econômico",I19,IF(H19="upgrade",K19,J19))</f>
        <v>28</v>
      </c>
      <c r="M19" s="5" t="n">
        <f aca="false">E19*IF(OR(F19="pessoa",F19="pessoa-noite"),Parâmetros!$B$8,1)</f>
        <v>2</v>
      </c>
      <c r="N19" s="36" t="n">
        <f aca="false">IFERROR(INDEX(Parâmetros!$B$22:$B$22,MATCH(G19,Parâmetros!$A$22:$A$22,0)),1)*(1+IF(G19=Parâmetros!$B$9,0,Parâmetros!$B$14))</f>
        <v>1</v>
      </c>
      <c r="O19" s="10" t="n">
        <f aca="false">M19*I19*N19</f>
        <v>56</v>
      </c>
      <c r="P19" s="10" t="n">
        <f aca="false">M19*J19*N19</f>
        <v>56</v>
      </c>
      <c r="Q19" s="10" t="n">
        <f aca="false">M19*K19*N19</f>
        <v>180</v>
      </c>
      <c r="R19" s="18" t="n">
        <f aca="false">M19*L19*N19</f>
        <v>56</v>
      </c>
      <c r="S19" s="7" t="str">
        <f aca="false">IFERROR(INDEX(Parâmetros!$D$27:$D$33,MATCH(B19,Parâmetros!$A$27:$A$33,0)),"não")</f>
        <v>não</v>
      </c>
      <c r="T19" s="33"/>
      <c r="U19" s="37" t="s">
        <v>172</v>
      </c>
      <c r="V19" s="22" t="s">
        <v>178</v>
      </c>
      <c r="W19" s="22" t="s">
        <v>179</v>
      </c>
      <c r="X19" s="22" t="s">
        <v>180</v>
      </c>
    </row>
    <row r="20" customFormat="false" ht="15" hidden="false" customHeight="false" outlineLevel="0" collapsed="false">
      <c r="A20" s="23" t="s">
        <v>181</v>
      </c>
      <c r="B20" s="23" t="s">
        <v>82</v>
      </c>
      <c r="C20" s="23" t="s">
        <v>182</v>
      </c>
      <c r="D20" s="24"/>
      <c r="E20" s="33" t="n">
        <v>1</v>
      </c>
      <c r="F20" s="23" t="s">
        <v>113</v>
      </c>
      <c r="G20" s="23" t="s">
        <v>41</v>
      </c>
      <c r="H20" s="34" t="s">
        <v>51</v>
      </c>
      <c r="I20" s="10" t="n">
        <f aca="false">J20*IFERROR(INDEX(Parâmetros!$C$27:$C$33,MATCH(B20,Parâmetros!$A$27:$A$33,0)),1)</f>
        <v>4.1405</v>
      </c>
      <c r="J20" s="35" t="n">
        <v>5</v>
      </c>
      <c r="K20" s="10" t="n">
        <f aca="false">J20</f>
        <v>5</v>
      </c>
      <c r="L20" s="18" t="n">
        <f aca="false">IF(H20="econômico",I20,IF(H20="upgrade",K20,J20))</f>
        <v>5</v>
      </c>
      <c r="M20" s="5" t="n">
        <f aca="false">E20*IF(OR(F20="pessoa",F20="pessoa-noite"),Parâmetros!$B$8,1)</f>
        <v>2</v>
      </c>
      <c r="N20" s="36" t="n">
        <f aca="false">IFERROR(INDEX(Parâmetros!$B$22:$B$22,MATCH(G20,Parâmetros!$A$22:$A$22,0)),1)*(1+IF(G20=Parâmetros!$B$9,0,Parâmetros!$B$14))</f>
        <v>1</v>
      </c>
      <c r="O20" s="10" t="n">
        <f aca="false">M20*I20*N20</f>
        <v>8.281</v>
      </c>
      <c r="P20" s="10" t="n">
        <f aca="false">M20*J20*N20</f>
        <v>10</v>
      </c>
      <c r="Q20" s="10" t="n">
        <f aca="false">M20*K20*N20</f>
        <v>10</v>
      </c>
      <c r="R20" s="18" t="n">
        <f aca="false">M20*L20*N20</f>
        <v>10</v>
      </c>
      <c r="S20" s="7" t="str">
        <f aca="false">IFERROR(INDEX(Parâmetros!$D$27:$D$33,MATCH(B20,Parâmetros!$A$27:$A$33,0)),"não")</f>
        <v>não</v>
      </c>
      <c r="T20" s="33"/>
      <c r="U20" s="37" t="s">
        <v>172</v>
      </c>
      <c r="V20" s="22" t="s">
        <v>136</v>
      </c>
      <c r="W20" s="22" t="s">
        <v>137</v>
      </c>
      <c r="X20" s="22" t="s">
        <v>183</v>
      </c>
    </row>
    <row r="21" customFormat="false" ht="15" hidden="false" customHeight="false" outlineLevel="0" collapsed="false">
      <c r="A21" s="23" t="s">
        <v>184</v>
      </c>
      <c r="B21" s="23" t="s">
        <v>85</v>
      </c>
      <c r="C21" s="23" t="s">
        <v>185</v>
      </c>
      <c r="D21" s="24" t="n">
        <v>46302</v>
      </c>
      <c r="E21" s="33" t="n">
        <v>1</v>
      </c>
      <c r="F21" s="23" t="s">
        <v>113</v>
      </c>
      <c r="G21" s="23" t="s">
        <v>41</v>
      </c>
      <c r="H21" s="34" t="s">
        <v>51</v>
      </c>
      <c r="I21" s="35" t="n">
        <v>10</v>
      </c>
      <c r="J21" s="35" t="n">
        <v>13</v>
      </c>
      <c r="K21" s="35" t="n">
        <v>20</v>
      </c>
      <c r="L21" s="18" t="n">
        <f aca="false">IF(H21="econômico",I21,IF(H21="upgrade",K21,J21))</f>
        <v>13</v>
      </c>
      <c r="M21" s="5" t="n">
        <f aca="false">E21*IF(OR(F21="pessoa",F21="pessoa-noite"),Parâmetros!$B$8,1)</f>
        <v>2</v>
      </c>
      <c r="N21" s="36" t="n">
        <f aca="false">IFERROR(INDEX(Parâmetros!$B$22:$B$22,MATCH(G21,Parâmetros!$A$22:$A$22,0)),1)*(1+IF(G21=Parâmetros!$B$9,0,Parâmetros!$B$14))</f>
        <v>1</v>
      </c>
      <c r="O21" s="10" t="n">
        <f aca="false">M21*I21*N21</f>
        <v>20</v>
      </c>
      <c r="P21" s="10" t="n">
        <f aca="false">M21*J21*N21</f>
        <v>26</v>
      </c>
      <c r="Q21" s="10" t="n">
        <f aca="false">M21*K21*N21</f>
        <v>40</v>
      </c>
      <c r="R21" s="18" t="n">
        <f aca="false">M21*L21*N21</f>
        <v>26</v>
      </c>
      <c r="S21" s="7" t="str">
        <f aca="false">IFERROR(INDEX(Parâmetros!$D$27:$D$33,MATCH(B21,Parâmetros!$A$27:$A$33,0)),"não")</f>
        <v>sim</v>
      </c>
      <c r="T21" s="33" t="n">
        <v>1</v>
      </c>
      <c r="U21" s="37" t="s">
        <v>186</v>
      </c>
      <c r="V21" s="22" t="s">
        <v>187</v>
      </c>
      <c r="W21" s="22" t="s">
        <v>188</v>
      </c>
      <c r="X21" s="22" t="s">
        <v>189</v>
      </c>
    </row>
    <row r="22" customFormat="false" ht="15" hidden="false" customHeight="false" outlineLevel="0" collapsed="false">
      <c r="A22" s="23" t="s">
        <v>190</v>
      </c>
      <c r="B22" s="23" t="s">
        <v>85</v>
      </c>
      <c r="C22" s="23" t="s">
        <v>191</v>
      </c>
      <c r="D22" s="24" t="n">
        <v>46303</v>
      </c>
      <c r="E22" s="33" t="n">
        <v>1</v>
      </c>
      <c r="F22" s="23" t="s">
        <v>113</v>
      </c>
      <c r="G22" s="23" t="s">
        <v>41</v>
      </c>
      <c r="H22" s="34" t="s">
        <v>51</v>
      </c>
      <c r="I22" s="35" t="n">
        <v>142</v>
      </c>
      <c r="J22" s="35" t="n">
        <v>150</v>
      </c>
      <c r="K22" s="35" t="n">
        <v>200</v>
      </c>
      <c r="L22" s="18" t="n">
        <f aca="false">IF(H22="econômico",I22,IF(H22="upgrade",K22,J22))</f>
        <v>150</v>
      </c>
      <c r="M22" s="5" t="n">
        <f aca="false">E22*IF(OR(F22="pessoa",F22="pessoa-noite"),Parâmetros!$B$8,1)</f>
        <v>2</v>
      </c>
      <c r="N22" s="36" t="n">
        <f aca="false">IFERROR(INDEX(Parâmetros!$B$22:$B$22,MATCH(G22,Parâmetros!$A$22:$A$22,0)),1)*(1+IF(G22=Parâmetros!$B$9,0,Parâmetros!$B$14))</f>
        <v>1</v>
      </c>
      <c r="O22" s="10" t="n">
        <f aca="false">M22*I22*N22</f>
        <v>284</v>
      </c>
      <c r="P22" s="10" t="n">
        <f aca="false">M22*J22*N22</f>
        <v>300</v>
      </c>
      <c r="Q22" s="10" t="n">
        <f aca="false">M22*K22*N22</f>
        <v>400</v>
      </c>
      <c r="R22" s="18" t="n">
        <f aca="false">M22*L22*N22</f>
        <v>300</v>
      </c>
      <c r="S22" s="7" t="str">
        <f aca="false">IFERROR(INDEX(Parâmetros!$D$27:$D$33,MATCH(B22,Parâmetros!$A$27:$A$33,0)),"não")</f>
        <v>sim</v>
      </c>
      <c r="T22" s="33" t="n">
        <v>2</v>
      </c>
      <c r="U22" s="37" t="s">
        <v>192</v>
      </c>
      <c r="V22" s="22" t="s">
        <v>193</v>
      </c>
      <c r="W22" s="22" t="s">
        <v>194</v>
      </c>
      <c r="X22" s="22" t="s">
        <v>195</v>
      </c>
    </row>
    <row r="23" customFormat="false" ht="15" hidden="false" customHeight="false" outlineLevel="0" collapsed="false">
      <c r="A23" s="23" t="s">
        <v>196</v>
      </c>
      <c r="B23" s="23" t="s">
        <v>85</v>
      </c>
      <c r="C23" s="23" t="s">
        <v>197</v>
      </c>
      <c r="D23" s="24" t="n">
        <v>46305</v>
      </c>
      <c r="E23" s="33" t="n">
        <v>1</v>
      </c>
      <c r="F23" s="23" t="s">
        <v>113</v>
      </c>
      <c r="G23" s="23" t="s">
        <v>41</v>
      </c>
      <c r="H23" s="34" t="s">
        <v>51</v>
      </c>
      <c r="I23" s="35" t="n">
        <v>0</v>
      </c>
      <c r="J23" s="35" t="n">
        <v>14.8</v>
      </c>
      <c r="K23" s="35" t="n">
        <v>36.7</v>
      </c>
      <c r="L23" s="18" t="n">
        <f aca="false">IF(H23="econômico",I23,IF(H23="upgrade",K23,J23))</f>
        <v>14.8</v>
      </c>
      <c r="M23" s="5" t="n">
        <f aca="false">E23*IF(OR(F23="pessoa",F23="pessoa-noite"),Parâmetros!$B$8,1)</f>
        <v>2</v>
      </c>
      <c r="N23" s="36" t="n">
        <f aca="false">IFERROR(INDEX(Parâmetros!$B$22:$B$22,MATCH(G23,Parâmetros!$A$22:$A$22,0)),1)*(1+IF(G23=Parâmetros!$B$9,0,Parâmetros!$B$14))</f>
        <v>1</v>
      </c>
      <c r="O23" s="10" t="n">
        <f aca="false">M23*I23*N23</f>
        <v>0</v>
      </c>
      <c r="P23" s="10" t="n">
        <f aca="false">M23*J23*N23</f>
        <v>29.6</v>
      </c>
      <c r="Q23" s="10" t="n">
        <f aca="false">M23*K23*N23</f>
        <v>73.4</v>
      </c>
      <c r="R23" s="18" t="n">
        <f aca="false">M23*L23*N23</f>
        <v>29.6</v>
      </c>
      <c r="S23" s="7" t="str">
        <f aca="false">IFERROR(INDEX(Parâmetros!$D$27:$D$33,MATCH(B23,Parâmetros!$A$27:$A$33,0)),"não")</f>
        <v>sim</v>
      </c>
      <c r="T23" s="33" t="n">
        <v>4</v>
      </c>
      <c r="U23" s="37" t="s">
        <v>198</v>
      </c>
      <c r="V23" s="22" t="s">
        <v>199</v>
      </c>
      <c r="W23" s="22" t="s">
        <v>200</v>
      </c>
      <c r="X23" s="22" t="s">
        <v>201</v>
      </c>
    </row>
    <row r="24" customFormat="false" ht="15" hidden="false" customHeight="false" outlineLevel="0" collapsed="false">
      <c r="A24" s="23" t="s">
        <v>202</v>
      </c>
      <c r="B24" s="23" t="s">
        <v>85</v>
      </c>
      <c r="C24" s="23" t="s">
        <v>203</v>
      </c>
      <c r="D24" s="24" t="n">
        <v>46305</v>
      </c>
      <c r="E24" s="33" t="n">
        <v>1</v>
      </c>
      <c r="F24" s="23" t="s">
        <v>113</v>
      </c>
      <c r="G24" s="23" t="s">
        <v>41</v>
      </c>
      <c r="H24" s="34" t="s">
        <v>51</v>
      </c>
      <c r="I24" s="35" t="n">
        <v>22</v>
      </c>
      <c r="J24" s="35" t="n">
        <v>22</v>
      </c>
      <c r="K24" s="35" t="n">
        <v>45</v>
      </c>
      <c r="L24" s="18" t="n">
        <f aca="false">IF(H24="econômico",I24,IF(H24="upgrade",K24,J24))</f>
        <v>22</v>
      </c>
      <c r="M24" s="5" t="n">
        <f aca="false">E24*IF(OR(F24="pessoa",F24="pessoa-noite"),Parâmetros!$B$8,1)</f>
        <v>2</v>
      </c>
      <c r="N24" s="36" t="n">
        <f aca="false">IFERROR(INDEX(Parâmetros!$B$22:$B$22,MATCH(G24,Parâmetros!$A$22:$A$22,0)),1)*(1+IF(G24=Parâmetros!$B$9,0,Parâmetros!$B$14))</f>
        <v>1</v>
      </c>
      <c r="O24" s="10" t="n">
        <f aca="false">M24*I24*N24</f>
        <v>44</v>
      </c>
      <c r="P24" s="10" t="n">
        <f aca="false">M24*J24*N24</f>
        <v>44</v>
      </c>
      <c r="Q24" s="10" t="n">
        <f aca="false">M24*K24*N24</f>
        <v>90</v>
      </c>
      <c r="R24" s="18" t="n">
        <f aca="false">M24*L24*N24</f>
        <v>44</v>
      </c>
      <c r="S24" s="7" t="str">
        <f aca="false">IFERROR(INDEX(Parâmetros!$D$27:$D$33,MATCH(B24,Parâmetros!$A$27:$A$33,0)),"não")</f>
        <v>sim</v>
      </c>
      <c r="T24" s="33" t="n">
        <v>4</v>
      </c>
      <c r="U24" s="37" t="s">
        <v>204</v>
      </c>
      <c r="V24" s="22" t="s">
        <v>205</v>
      </c>
      <c r="W24" s="22" t="s">
        <v>206</v>
      </c>
      <c r="X24" s="22" t="s">
        <v>207</v>
      </c>
    </row>
    <row r="25" customFormat="false" ht="15" hidden="false" customHeight="false" outlineLevel="0" collapsed="false">
      <c r="A25" s="23" t="s">
        <v>208</v>
      </c>
      <c r="B25" s="23" t="s">
        <v>85</v>
      </c>
      <c r="C25" s="23" t="s">
        <v>209</v>
      </c>
      <c r="D25" s="24" t="n">
        <v>46305</v>
      </c>
      <c r="E25" s="33" t="n">
        <v>1</v>
      </c>
      <c r="F25" s="23" t="s">
        <v>113</v>
      </c>
      <c r="G25" s="23" t="s">
        <v>41</v>
      </c>
      <c r="H25" s="34" t="s">
        <v>51</v>
      </c>
      <c r="I25" s="35" t="n">
        <v>12.5</v>
      </c>
      <c r="J25" s="35" t="n">
        <v>12.5</v>
      </c>
      <c r="K25" s="35" t="n">
        <v>18</v>
      </c>
      <c r="L25" s="18" t="n">
        <f aca="false">IF(H25="econômico",I25,IF(H25="upgrade",K25,J25))</f>
        <v>12.5</v>
      </c>
      <c r="M25" s="5" t="n">
        <f aca="false">E25*IF(OR(F25="pessoa",F25="pessoa-noite"),Parâmetros!$B$8,1)</f>
        <v>2</v>
      </c>
      <c r="N25" s="36" t="n">
        <f aca="false">IFERROR(INDEX(Parâmetros!$B$22:$B$22,MATCH(G25,Parâmetros!$A$22:$A$22,0)),1)*(1+IF(G25=Parâmetros!$B$9,0,Parâmetros!$B$14))</f>
        <v>1</v>
      </c>
      <c r="O25" s="10" t="n">
        <f aca="false">M25*I25*N25</f>
        <v>25</v>
      </c>
      <c r="P25" s="10" t="n">
        <f aca="false">M25*J25*N25</f>
        <v>25</v>
      </c>
      <c r="Q25" s="10" t="n">
        <f aca="false">M25*K25*N25</f>
        <v>36</v>
      </c>
      <c r="R25" s="18" t="n">
        <f aca="false">M25*L25*N25</f>
        <v>25</v>
      </c>
      <c r="S25" s="7" t="str">
        <f aca="false">IFERROR(INDEX(Parâmetros!$D$27:$D$33,MATCH(B25,Parâmetros!$A$27:$A$33,0)),"não")</f>
        <v>sim</v>
      </c>
      <c r="T25" s="33" t="n">
        <v>4</v>
      </c>
      <c r="U25" s="37" t="s">
        <v>210</v>
      </c>
      <c r="V25" s="22" t="s">
        <v>178</v>
      </c>
      <c r="W25" s="22" t="s">
        <v>211</v>
      </c>
      <c r="X25" s="22" t="s">
        <v>212</v>
      </c>
    </row>
    <row r="26" customFormat="false" ht="15" hidden="false" customHeight="false" outlineLevel="0" collapsed="false">
      <c r="A26" s="23" t="s">
        <v>213</v>
      </c>
      <c r="B26" s="23" t="s">
        <v>85</v>
      </c>
      <c r="C26" s="23" t="s">
        <v>214</v>
      </c>
      <c r="D26" s="24" t="n">
        <v>46306</v>
      </c>
      <c r="E26" s="33" t="n">
        <v>1</v>
      </c>
      <c r="F26" s="23" t="s">
        <v>113</v>
      </c>
      <c r="G26" s="23" t="s">
        <v>41</v>
      </c>
      <c r="H26" s="34" t="s">
        <v>51</v>
      </c>
      <c r="I26" s="35" t="n">
        <v>16</v>
      </c>
      <c r="J26" s="35" t="n">
        <v>16</v>
      </c>
      <c r="K26" s="35" t="n">
        <v>22</v>
      </c>
      <c r="L26" s="18" t="n">
        <f aca="false">IF(H26="econômico",I26,IF(H26="upgrade",K26,J26))</f>
        <v>16</v>
      </c>
      <c r="M26" s="5" t="n">
        <f aca="false">E26*IF(OR(F26="pessoa",F26="pessoa-noite"),Parâmetros!$B$8,1)</f>
        <v>2</v>
      </c>
      <c r="N26" s="36" t="n">
        <f aca="false">IFERROR(INDEX(Parâmetros!$B$22:$B$22,MATCH(G26,Parâmetros!$A$22:$A$22,0)),1)*(1+IF(G26=Parâmetros!$B$9,0,Parâmetros!$B$14))</f>
        <v>1</v>
      </c>
      <c r="O26" s="10" t="n">
        <f aca="false">M26*I26*N26</f>
        <v>32</v>
      </c>
      <c r="P26" s="10" t="n">
        <f aca="false">M26*J26*N26</f>
        <v>32</v>
      </c>
      <c r="Q26" s="10" t="n">
        <f aca="false">M26*K26*N26</f>
        <v>44</v>
      </c>
      <c r="R26" s="18" t="n">
        <f aca="false">M26*L26*N26</f>
        <v>32</v>
      </c>
      <c r="S26" s="7" t="str">
        <f aca="false">IFERROR(INDEX(Parâmetros!$D$27:$D$33,MATCH(B26,Parâmetros!$A$27:$A$33,0)),"não")</f>
        <v>sim</v>
      </c>
      <c r="T26" s="33" t="n">
        <v>5</v>
      </c>
      <c r="U26" s="37" t="s">
        <v>215</v>
      </c>
      <c r="V26" s="22" t="s">
        <v>216</v>
      </c>
      <c r="W26" s="22" t="s">
        <v>211</v>
      </c>
      <c r="X26" s="22" t="s">
        <v>217</v>
      </c>
    </row>
    <row r="27" customFormat="false" ht="15" hidden="false" customHeight="false" outlineLevel="0" collapsed="false">
      <c r="A27" s="38" t="s">
        <v>218</v>
      </c>
      <c r="B27" s="38" t="s">
        <v>85</v>
      </c>
      <c r="C27" s="38" t="s">
        <v>219</v>
      </c>
      <c r="D27" s="39"/>
      <c r="E27" s="40" t="n">
        <v>1</v>
      </c>
      <c r="F27" s="38" t="s">
        <v>44</v>
      </c>
      <c r="G27" s="38" t="s">
        <v>41</v>
      </c>
      <c r="H27" s="41" t="s">
        <v>51</v>
      </c>
      <c r="I27" s="42" t="n">
        <f aca="false">J27*IFERROR(INDEX(Parâmetros!$C$27:$C$33,MATCH(B27,Parâmetros!$A$27:$A$33,0)),1)</f>
        <v>8.4</v>
      </c>
      <c r="J27" s="43" t="n">
        <v>8.4</v>
      </c>
      <c r="K27" s="42" t="n">
        <f aca="false">J27</f>
        <v>8.4</v>
      </c>
      <c r="L27" s="18" t="n">
        <f aca="false">IF(H27="econômico",I27,IF(H27="upgrade",K27,J27))</f>
        <v>8.4</v>
      </c>
      <c r="M27" s="5" t="n">
        <f aca="false">E27*IF(OR(F27="pessoa",F27="pessoa-noite"),Parâmetros!$B$8,1)</f>
        <v>1</v>
      </c>
      <c r="N27" s="36" t="n">
        <f aca="false">IFERROR(INDEX(Parâmetros!$B$22:$B$22,MATCH(G27,Parâmetros!$A$22:$A$22,0)),1)*(1+IF(G27=Parâmetros!$B$9,0,Parâmetros!$B$14))</f>
        <v>1</v>
      </c>
      <c r="O27" s="10" t="n">
        <f aca="false">M27*I27*N27</f>
        <v>8.4</v>
      </c>
      <c r="P27" s="10" t="n">
        <f aca="false">M27*J27*N27</f>
        <v>8.4</v>
      </c>
      <c r="Q27" s="10" t="n">
        <f aca="false">M27*K27*N27</f>
        <v>8.4</v>
      </c>
      <c r="R27" s="18" t="n">
        <f aca="false">M27*L27*N27</f>
        <v>8.4</v>
      </c>
      <c r="S27" s="7" t="str">
        <f aca="false">IFERROR(INDEX(Parâmetros!$D$27:$D$33,MATCH(B27,Parâmetros!$A$27:$A$33,0)),"não")</f>
        <v>sim</v>
      </c>
      <c r="T27" s="33"/>
      <c r="V27" s="22"/>
      <c r="W27" s="22"/>
      <c r="X27" s="22" t="s">
        <v>87</v>
      </c>
    </row>
    <row r="28" customFormat="false" ht="15" hidden="false" customHeight="false" outlineLevel="0" collapsed="false">
      <c r="A28" s="38" t="s">
        <v>220</v>
      </c>
      <c r="B28" s="38" t="s">
        <v>88</v>
      </c>
      <c r="C28" s="38" t="s">
        <v>221</v>
      </c>
      <c r="D28" s="39"/>
      <c r="E28" s="40" t="n">
        <v>1</v>
      </c>
      <c r="F28" s="38" t="s">
        <v>44</v>
      </c>
      <c r="G28" s="38" t="s">
        <v>41</v>
      </c>
      <c r="H28" s="41" t="s">
        <v>51</v>
      </c>
      <c r="I28" s="42" t="n">
        <f aca="false">J28*IFERROR(INDEX(Parâmetros!$C$27:$C$33,MATCH(B28,Parâmetros!$A$27:$A$33,0)),1)</f>
        <v>40</v>
      </c>
      <c r="J28" s="43" t="n">
        <v>80</v>
      </c>
      <c r="K28" s="42" t="n">
        <f aca="false">J28</f>
        <v>80</v>
      </c>
      <c r="L28" s="18" t="n">
        <f aca="false">IF(H28="econômico",I28,IF(H28="upgrade",K28,J28))</f>
        <v>80</v>
      </c>
      <c r="M28" s="5" t="n">
        <f aca="false">E28*IF(OR(F28="pessoa",F28="pessoa-noite"),Parâmetros!$B$8,1)</f>
        <v>1</v>
      </c>
      <c r="N28" s="36" t="n">
        <f aca="false">IFERROR(INDEX(Parâmetros!$B$22:$B$22,MATCH(G28,Parâmetros!$A$22:$A$22,0)),1)*(1+IF(G28=Parâmetros!$B$9,0,Parâmetros!$B$14))</f>
        <v>1</v>
      </c>
      <c r="O28" s="10" t="n">
        <f aca="false">M28*I28*N28</f>
        <v>40</v>
      </c>
      <c r="P28" s="10" t="n">
        <f aca="false">M28*J28*N28</f>
        <v>80</v>
      </c>
      <c r="Q28" s="10" t="n">
        <f aca="false">M28*K28*N28</f>
        <v>80</v>
      </c>
      <c r="R28" s="18" t="n">
        <f aca="false">M28*L28*N28</f>
        <v>80</v>
      </c>
      <c r="S28" s="7" t="str">
        <f aca="false">IFERROR(INDEX(Parâmetros!$D$27:$D$33,MATCH(B28,Parâmetros!$A$27:$A$33,0)),"não")</f>
        <v>não</v>
      </c>
      <c r="T28" s="33"/>
      <c r="V28" s="22"/>
      <c r="W28" s="22"/>
      <c r="X28" s="22" t="s">
        <v>90</v>
      </c>
    </row>
    <row r="30" customFormat="false" ht="15" hidden="false" customHeight="false" outlineLevel="0" collapsed="false">
      <c r="C30" s="21" t="s">
        <v>222</v>
      </c>
    </row>
    <row r="31" customFormat="false" ht="15" hidden="false" customHeight="false" outlineLevel="0" collapsed="false">
      <c r="C31" s="22" t="s">
        <v>223</v>
      </c>
    </row>
    <row r="32" customFormat="false" ht="15" hidden="false" customHeight="false" outlineLevel="0" collapsed="false">
      <c r="C32" s="22" t="s">
        <v>224</v>
      </c>
    </row>
    <row r="33" customFormat="false" ht="15" hidden="false" customHeight="false" outlineLevel="0" collapsed="false">
      <c r="C33" s="22" t="s">
        <v>225</v>
      </c>
    </row>
    <row r="34" customFormat="false" ht="15" hidden="false" customHeight="false" outlineLevel="0" collapsed="false">
      <c r="C34" s="22" t="s">
        <v>226</v>
      </c>
    </row>
    <row r="35" customFormat="false" ht="15" hidden="false" customHeight="false" outlineLevel="0" collapsed="false">
      <c r="C35" s="22" t="s">
        <v>227</v>
      </c>
    </row>
    <row r="36" customFormat="false" ht="15" hidden="false" customHeight="false" outlineLevel="0" collapsed="false">
      <c r="C36" s="22" t="s">
        <v>228</v>
      </c>
    </row>
  </sheetData>
  <autoFilter ref="A1:X28"/>
  <dataValidations count="3">
    <dataValidation allowBlank="false" errorStyle="stop" operator="between" showDropDown="false" showErrorMessage="false" showInputMessage="false" sqref="F2:F229" type="list">
      <formula1>"pessoa,total,noite,pessoa-noite"</formula1>
      <formula2>0</formula2>
    </dataValidation>
    <dataValidation allowBlank="false" errorStyle="stop" operator="between" showDropDown="false" showErrorMessage="false" showInputMessage="false" sqref="B2:B229" type="list">
      <formula1>Parâmetros!$A$27:$A$33</formula1>
      <formula2>0</formula2>
    </dataValidation>
    <dataValidation allowBlank="false" errorStyle="stop" operator="between" showDropDown="false" showErrorMessage="false" showInputMessage="false" sqref="H2:H229" type="list">
      <formula1>"econômico,plano,upgrade"</formula1>
      <formula2>0</formula2>
    </dataValidation>
  </dataValidations>
  <hyperlinks>
    <hyperlink ref="U2" r:id="rId2" display="transavia.com"/>
    <hyperlink ref="U3" r:id="rId3" display="transavia.com"/>
    <hyperlink ref="U4" r:id="rId4" display="all.accor.com"/>
    <hyperlink ref="U5" r:id="rId5" display="hotel-bb.com"/>
    <hyperlink ref="U10" r:id="rId6" display="bouillon-chartier.com"/>
    <hyperlink ref="U16" r:id="rId7" display="marchedaligre.fr"/>
    <hyperlink ref="U18" r:id="rId8" display="bonjour-ratp.fr"/>
    <hyperlink ref="U19" r:id="rId9" display="bonjour-ratp.fr"/>
    <hyperlink ref="U20" r:id="rId10" display="bonjour-ratp.fr"/>
    <hyperlink ref="U21" r:id="rId11" display="sainte-chapelle.fr"/>
    <hyperlink ref="U22" r:id="rId12" display="disneylandparis.com"/>
    <hyperlink ref="U23" r:id="rId13" display="toureiffel.paris"/>
    <hyperlink ref="U24" r:id="rId14" display="louvre.fr"/>
    <hyperlink ref="U25" r:id="rId15" display="musee-orangerie.fr"/>
    <hyperlink ref="U26" r:id="rId16" display="musee-orsay.fr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7"/>
  <legacyDrawing r:id="rId18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7"/>
    <col collapsed="false" customWidth="true" hidden="false" outlineLevel="0" max="5" min="5" style="0" width="50"/>
    <col collapsed="false" customWidth="true" hidden="false" outlineLevel="0" max="6" min="6" style="0" width="13"/>
    <col collapsed="false" customWidth="true" hidden="false" outlineLevel="0" max="7" min="7" style="0" width="16"/>
    <col collapsed="false" customWidth="true" hidden="false" outlineLevel="0" max="8" min="8" style="0" width="11"/>
    <col collapsed="false" customWidth="true" hidden="false" outlineLevel="0" max="9" min="9" style="0" width="12"/>
    <col collapsed="false" customWidth="true" hidden="false" outlineLevel="0" max="10" min="10" style="0" width="7"/>
    <col collapsed="false" customWidth="true" hidden="false" outlineLevel="0" max="11" min="11" style="0" width="28"/>
    <col collapsed="false" customWidth="true" hidden="false" outlineLevel="0" max="12" min="12" style="0" width="70"/>
  </cols>
  <sheetData>
    <row r="1" customFormat="false" ht="17.35" hidden="false" customHeight="false" outlineLevel="0" collapsed="false">
      <c r="A1" s="1" t="s">
        <v>229</v>
      </c>
    </row>
    <row r="2" customFormat="false" ht="15" hidden="false" customHeight="false" outlineLevel="0" collapsed="false">
      <c r="A2" s="2" t="s">
        <v>230</v>
      </c>
    </row>
    <row r="4" customFormat="false" ht="30" hidden="false" customHeight="true" outlineLevel="0" collapsed="false">
      <c r="A4" s="6" t="s">
        <v>106</v>
      </c>
      <c r="B4" s="6" t="s">
        <v>59</v>
      </c>
      <c r="C4" s="6" t="s">
        <v>231</v>
      </c>
      <c r="D4" s="6" t="s">
        <v>232</v>
      </c>
      <c r="E4" s="6" t="s">
        <v>233</v>
      </c>
      <c r="F4" s="6" t="s">
        <v>234</v>
      </c>
      <c r="G4" s="6" t="s">
        <v>235</v>
      </c>
      <c r="H4" s="6" t="s">
        <v>236</v>
      </c>
      <c r="I4" s="6" t="s">
        <v>237</v>
      </c>
      <c r="J4" s="6" t="s">
        <v>238</v>
      </c>
      <c r="K4" s="6" t="s">
        <v>239</v>
      </c>
      <c r="L4" s="6" t="s">
        <v>240</v>
      </c>
    </row>
    <row r="5" customFormat="false" ht="15" hidden="false" customHeight="false" outlineLevel="0" collapsed="false">
      <c r="A5" s="15" t="n">
        <v>1</v>
      </c>
      <c r="B5" s="44" t="n">
        <v>46302</v>
      </c>
      <c r="C5" s="45" t="s">
        <v>241</v>
      </c>
      <c r="D5" s="17"/>
      <c r="E5" s="15" t="s">
        <v>242</v>
      </c>
      <c r="F5" s="17"/>
      <c r="G5" s="17"/>
      <c r="H5" s="17"/>
      <c r="I5" s="17"/>
      <c r="J5" s="17"/>
      <c r="K5" s="17"/>
      <c r="L5" s="46" t="s">
        <v>243</v>
      </c>
    </row>
    <row r="6" customFormat="false" ht="15" hidden="false" customHeight="false" outlineLevel="0" collapsed="false">
      <c r="D6" s="3" t="s">
        <v>244</v>
      </c>
      <c r="E6" s="3" t="s">
        <v>245</v>
      </c>
      <c r="F6" s="3" t="s">
        <v>246</v>
      </c>
      <c r="I6" s="3"/>
      <c r="K6" s="37" t="s">
        <v>172</v>
      </c>
      <c r="L6" s="22"/>
    </row>
    <row r="7" customFormat="false" ht="15" hidden="false" customHeight="false" outlineLevel="0" collapsed="false">
      <c r="D7" s="3" t="s">
        <v>247</v>
      </c>
      <c r="E7" s="3" t="s">
        <v>144</v>
      </c>
      <c r="F7" s="3" t="s">
        <v>248</v>
      </c>
      <c r="G7" s="8" t="n">
        <f aca="false">Itens!R9</f>
        <v>18</v>
      </c>
      <c r="H7" s="7" t="str">
        <f aca="false">Itens!H9</f>
        <v>plano</v>
      </c>
      <c r="I7" s="3"/>
      <c r="L7" s="22"/>
    </row>
    <row r="8" customFormat="false" ht="15" hidden="false" customHeight="false" outlineLevel="0" collapsed="false">
      <c r="D8" s="3" t="s">
        <v>249</v>
      </c>
      <c r="E8" s="3" t="s">
        <v>185</v>
      </c>
      <c r="F8" s="3" t="s">
        <v>250</v>
      </c>
      <c r="G8" s="8" t="n">
        <f aca="false">Itens!R21</f>
        <v>26</v>
      </c>
      <c r="H8" s="7" t="str">
        <f aca="false">Itens!H21</f>
        <v>plano</v>
      </c>
      <c r="I8" s="3" t="s">
        <v>80</v>
      </c>
      <c r="K8" s="37" t="s">
        <v>186</v>
      </c>
      <c r="L8" s="22" t="s">
        <v>189</v>
      </c>
    </row>
    <row r="9" customFormat="false" ht="15" hidden="false" customHeight="false" outlineLevel="0" collapsed="false">
      <c r="D9" s="3" t="s">
        <v>251</v>
      </c>
      <c r="E9" s="3" t="s">
        <v>252</v>
      </c>
      <c r="F9" s="3" t="s">
        <v>250</v>
      </c>
      <c r="I9" s="3"/>
      <c r="L9" s="22" t="s">
        <v>253</v>
      </c>
    </row>
    <row r="10" customFormat="false" ht="15" hidden="false" customHeight="false" outlineLevel="0" collapsed="false">
      <c r="D10" s="3" t="s">
        <v>254</v>
      </c>
      <c r="E10" s="3" t="s">
        <v>255</v>
      </c>
      <c r="F10" s="3" t="s">
        <v>256</v>
      </c>
      <c r="I10" s="3"/>
      <c r="L10" s="22"/>
    </row>
    <row r="11" customFormat="false" ht="15" hidden="false" customHeight="false" outlineLevel="0" collapsed="false">
      <c r="D11" s="3" t="s">
        <v>257</v>
      </c>
      <c r="E11" s="3" t="s">
        <v>148</v>
      </c>
      <c r="F11" s="3" t="s">
        <v>248</v>
      </c>
      <c r="G11" s="8" t="n">
        <f aca="false">Itens!R10</f>
        <v>38</v>
      </c>
      <c r="H11" s="7" t="str">
        <f aca="false">Itens!H10</f>
        <v>plano</v>
      </c>
      <c r="I11" s="3"/>
      <c r="K11" s="37" t="s">
        <v>149</v>
      </c>
      <c r="L11" s="22" t="s">
        <v>152</v>
      </c>
    </row>
    <row r="12" customFormat="false" ht="15" hidden="false" customHeight="false" outlineLevel="0" collapsed="false">
      <c r="E12" s="47" t="s">
        <v>258</v>
      </c>
      <c r="G12" s="18" t="n">
        <f aca="false">SUM(G6:G11)</f>
        <v>82</v>
      </c>
    </row>
    <row r="14" customFormat="false" ht="15" hidden="false" customHeight="false" outlineLevel="0" collapsed="false">
      <c r="A14" s="15" t="n">
        <v>2</v>
      </c>
      <c r="B14" s="44" t="n">
        <v>46303</v>
      </c>
      <c r="C14" s="45" t="s">
        <v>259</v>
      </c>
      <c r="D14" s="17"/>
      <c r="E14" s="15" t="s">
        <v>260</v>
      </c>
      <c r="F14" s="17"/>
      <c r="G14" s="17"/>
      <c r="H14" s="17"/>
      <c r="I14" s="17"/>
      <c r="J14" s="17"/>
      <c r="K14" s="17"/>
      <c r="L14" s="46" t="s">
        <v>261</v>
      </c>
    </row>
    <row r="15" customFormat="false" ht="15" hidden="false" customHeight="false" outlineLevel="0" collapsed="false">
      <c r="D15" s="3" t="s">
        <v>262</v>
      </c>
      <c r="E15" s="3" t="s">
        <v>263</v>
      </c>
      <c r="F15" s="3" t="s">
        <v>246</v>
      </c>
      <c r="I15" s="3"/>
      <c r="L15" s="22" t="s">
        <v>264</v>
      </c>
    </row>
    <row r="16" customFormat="false" ht="15" hidden="false" customHeight="false" outlineLevel="0" collapsed="false">
      <c r="D16" s="3" t="s">
        <v>265</v>
      </c>
      <c r="E16" s="3" t="s">
        <v>191</v>
      </c>
      <c r="F16" s="3" t="s">
        <v>250</v>
      </c>
      <c r="G16" s="8" t="n">
        <f aca="false">Itens!R22</f>
        <v>300</v>
      </c>
      <c r="H16" s="7" t="str">
        <f aca="false">Itens!H22</f>
        <v>plano</v>
      </c>
      <c r="I16" s="3" t="s">
        <v>80</v>
      </c>
      <c r="K16" s="37" t="s">
        <v>192</v>
      </c>
      <c r="L16" s="22" t="s">
        <v>195</v>
      </c>
    </row>
    <row r="17" customFormat="false" ht="15" hidden="false" customHeight="false" outlineLevel="0" collapsed="false">
      <c r="D17" s="3" t="s">
        <v>266</v>
      </c>
      <c r="E17" s="3" t="s">
        <v>154</v>
      </c>
      <c r="F17" s="3" t="s">
        <v>248</v>
      </c>
      <c r="G17" s="8" t="n">
        <f aca="false">Itens!R11</f>
        <v>50</v>
      </c>
      <c r="H17" s="7" t="str">
        <f aca="false">Itens!H11</f>
        <v>plano</v>
      </c>
      <c r="I17" s="3"/>
      <c r="L17" s="22"/>
    </row>
    <row r="18" customFormat="false" ht="15" hidden="false" customHeight="false" outlineLevel="0" collapsed="false">
      <c r="D18" s="3" t="s">
        <v>267</v>
      </c>
      <c r="E18" s="3" t="s">
        <v>268</v>
      </c>
      <c r="F18" s="3" t="s">
        <v>246</v>
      </c>
      <c r="I18" s="3"/>
      <c r="L18" s="22"/>
    </row>
    <row r="19" customFormat="false" ht="15" hidden="false" customHeight="false" outlineLevel="0" collapsed="false">
      <c r="D19" s="3" t="s">
        <v>269</v>
      </c>
      <c r="E19" s="3" t="s">
        <v>270</v>
      </c>
      <c r="F19" s="3" t="s">
        <v>271</v>
      </c>
      <c r="I19" s="3"/>
      <c r="L19" s="22" t="s">
        <v>272</v>
      </c>
    </row>
    <row r="20" customFormat="false" ht="15" hidden="false" customHeight="false" outlineLevel="0" collapsed="false">
      <c r="E20" s="47" t="s">
        <v>273</v>
      </c>
      <c r="G20" s="18" t="n">
        <f aca="false">SUM(G15:G19)</f>
        <v>350</v>
      </c>
    </row>
    <row r="22" customFormat="false" ht="15" hidden="false" customHeight="false" outlineLevel="0" collapsed="false">
      <c r="A22" s="15" t="n">
        <v>3</v>
      </c>
      <c r="B22" s="44" t="n">
        <v>46304</v>
      </c>
      <c r="C22" s="45" t="s">
        <v>274</v>
      </c>
      <c r="D22" s="17"/>
      <c r="E22" s="15" t="s">
        <v>275</v>
      </c>
      <c r="F22" s="17"/>
      <c r="G22" s="17"/>
      <c r="H22" s="17"/>
      <c r="I22" s="17"/>
      <c r="J22" s="17"/>
      <c r="K22" s="17"/>
      <c r="L22" s="46" t="s">
        <v>276</v>
      </c>
    </row>
    <row r="23" customFormat="false" ht="15" hidden="false" customHeight="false" outlineLevel="0" collapsed="false">
      <c r="D23" s="3" t="s">
        <v>265</v>
      </c>
      <c r="E23" s="3" t="s">
        <v>277</v>
      </c>
      <c r="F23" s="3" t="s">
        <v>250</v>
      </c>
      <c r="I23" s="3"/>
      <c r="K23" s="37" t="s">
        <v>192</v>
      </c>
      <c r="L23" s="22" t="s">
        <v>278</v>
      </c>
    </row>
    <row r="24" customFormat="false" ht="15" hidden="false" customHeight="false" outlineLevel="0" collapsed="false">
      <c r="D24" s="3" t="s">
        <v>266</v>
      </c>
      <c r="E24" s="3" t="s">
        <v>154</v>
      </c>
      <c r="F24" s="3" t="s">
        <v>248</v>
      </c>
      <c r="G24" s="8" t="n">
        <f aca="false">Itens!R13</f>
        <v>50</v>
      </c>
      <c r="H24" s="7" t="str">
        <f aca="false">Itens!H13</f>
        <v>plano</v>
      </c>
      <c r="I24" s="3"/>
      <c r="L24" s="22"/>
    </row>
    <row r="25" customFormat="false" ht="15" hidden="false" customHeight="false" outlineLevel="0" collapsed="false">
      <c r="D25" s="3" t="s">
        <v>279</v>
      </c>
      <c r="E25" s="3" t="s">
        <v>280</v>
      </c>
      <c r="F25" s="3" t="s">
        <v>250</v>
      </c>
      <c r="I25" s="3"/>
      <c r="K25" s="37" t="s">
        <v>192</v>
      </c>
      <c r="L25" s="22"/>
    </row>
    <row r="26" customFormat="false" ht="15" hidden="false" customHeight="false" outlineLevel="0" collapsed="false">
      <c r="D26" s="3" t="s">
        <v>269</v>
      </c>
      <c r="E26" s="3" t="s">
        <v>281</v>
      </c>
      <c r="F26" s="3" t="s">
        <v>246</v>
      </c>
      <c r="I26" s="3"/>
      <c r="L26" s="22"/>
    </row>
    <row r="27" customFormat="false" ht="15" hidden="false" customHeight="false" outlineLevel="0" collapsed="false">
      <c r="D27" s="3" t="s">
        <v>282</v>
      </c>
      <c r="E27" s="3" t="s">
        <v>156</v>
      </c>
      <c r="F27" s="3" t="s">
        <v>248</v>
      </c>
      <c r="G27" s="8" t="n">
        <f aca="false">Itens!R12</f>
        <v>36</v>
      </c>
      <c r="H27" s="7" t="str">
        <f aca="false">Itens!H12</f>
        <v>plano</v>
      </c>
      <c r="I27" s="3"/>
      <c r="L27" s="22"/>
    </row>
    <row r="28" customFormat="false" ht="15" hidden="false" customHeight="false" outlineLevel="0" collapsed="false">
      <c r="E28" s="47" t="s">
        <v>283</v>
      </c>
      <c r="G28" s="18" t="n">
        <f aca="false">SUM(G23:G27)</f>
        <v>86</v>
      </c>
    </row>
    <row r="30" customFormat="false" ht="15" hidden="false" customHeight="false" outlineLevel="0" collapsed="false">
      <c r="A30" s="15" t="n">
        <v>4</v>
      </c>
      <c r="B30" s="44" t="n">
        <v>46305</v>
      </c>
      <c r="C30" s="45" t="s">
        <v>284</v>
      </c>
      <c r="D30" s="17"/>
      <c r="E30" s="15" t="s">
        <v>285</v>
      </c>
      <c r="F30" s="17"/>
      <c r="G30" s="17"/>
      <c r="H30" s="17"/>
      <c r="I30" s="17"/>
      <c r="J30" s="17"/>
      <c r="K30" s="17"/>
      <c r="L30" s="46" t="s">
        <v>286</v>
      </c>
    </row>
    <row r="31" customFormat="false" ht="15" hidden="false" customHeight="false" outlineLevel="0" collapsed="false">
      <c r="D31" s="3" t="s">
        <v>287</v>
      </c>
      <c r="E31" s="3" t="s">
        <v>203</v>
      </c>
      <c r="F31" s="3" t="s">
        <v>250</v>
      </c>
      <c r="G31" s="8" t="n">
        <f aca="false">Itens!R24</f>
        <v>44</v>
      </c>
      <c r="H31" s="7" t="str">
        <f aca="false">Itens!H24</f>
        <v>plano</v>
      </c>
      <c r="I31" s="3" t="s">
        <v>80</v>
      </c>
      <c r="K31" s="37" t="s">
        <v>204</v>
      </c>
      <c r="L31" s="22" t="s">
        <v>288</v>
      </c>
    </row>
    <row r="32" customFormat="false" ht="15" hidden="false" customHeight="false" outlineLevel="0" collapsed="false">
      <c r="D32" s="3" t="s">
        <v>247</v>
      </c>
      <c r="E32" s="3" t="s">
        <v>161</v>
      </c>
      <c r="F32" s="3" t="s">
        <v>248</v>
      </c>
      <c r="G32" s="8" t="n">
        <f aca="false">Itens!R15</f>
        <v>20</v>
      </c>
      <c r="H32" s="7" t="str">
        <f aca="false">Itens!H15</f>
        <v>plano</v>
      </c>
      <c r="I32" s="3"/>
      <c r="L32" s="22"/>
    </row>
    <row r="33" customFormat="false" ht="15" hidden="false" customHeight="false" outlineLevel="0" collapsed="false">
      <c r="D33" s="3" t="s">
        <v>249</v>
      </c>
      <c r="E33" s="3" t="s">
        <v>209</v>
      </c>
      <c r="F33" s="3" t="s">
        <v>250</v>
      </c>
      <c r="G33" s="8" t="n">
        <f aca="false">Itens!R25</f>
        <v>25</v>
      </c>
      <c r="H33" s="7" t="str">
        <f aca="false">Itens!H25</f>
        <v>plano</v>
      </c>
      <c r="I33" s="3" t="s">
        <v>80</v>
      </c>
      <c r="K33" s="37" t="s">
        <v>210</v>
      </c>
      <c r="L33" s="22" t="s">
        <v>212</v>
      </c>
    </row>
    <row r="34" customFormat="false" ht="15" hidden="false" customHeight="false" outlineLevel="0" collapsed="false">
      <c r="D34" s="3" t="s">
        <v>267</v>
      </c>
      <c r="E34" s="3" t="s">
        <v>289</v>
      </c>
      <c r="F34" s="3" t="s">
        <v>256</v>
      </c>
      <c r="I34" s="3"/>
      <c r="L34" s="22"/>
    </row>
    <row r="35" customFormat="false" ht="15" hidden="false" customHeight="false" outlineLevel="0" collapsed="false">
      <c r="D35" s="3" t="s">
        <v>269</v>
      </c>
      <c r="E35" s="3" t="s">
        <v>197</v>
      </c>
      <c r="F35" s="3" t="s">
        <v>250</v>
      </c>
      <c r="G35" s="8" t="n">
        <f aca="false">Itens!R23</f>
        <v>29.6</v>
      </c>
      <c r="H35" s="7" t="str">
        <f aca="false">Itens!H23</f>
        <v>plano</v>
      </c>
      <c r="I35" s="3" t="s">
        <v>80</v>
      </c>
      <c r="K35" s="37" t="s">
        <v>198</v>
      </c>
      <c r="L35" s="22" t="s">
        <v>290</v>
      </c>
    </row>
    <row r="36" customFormat="false" ht="15" hidden="false" customHeight="false" outlineLevel="0" collapsed="false">
      <c r="D36" s="3" t="s">
        <v>291</v>
      </c>
      <c r="E36" s="3" t="s">
        <v>159</v>
      </c>
      <c r="F36" s="3" t="s">
        <v>248</v>
      </c>
      <c r="G36" s="8" t="n">
        <f aca="false">Itens!R14</f>
        <v>44</v>
      </c>
      <c r="H36" s="7" t="str">
        <f aca="false">Itens!H14</f>
        <v>plano</v>
      </c>
      <c r="I36" s="3"/>
      <c r="L36" s="22"/>
    </row>
    <row r="37" customFormat="false" ht="15" hidden="false" customHeight="false" outlineLevel="0" collapsed="false">
      <c r="E37" s="47" t="s">
        <v>292</v>
      </c>
      <c r="G37" s="18" t="n">
        <f aca="false">SUM(G31:G36)</f>
        <v>162.6</v>
      </c>
    </row>
    <row r="39" customFormat="false" ht="15" hidden="false" customHeight="false" outlineLevel="0" collapsed="false">
      <c r="A39" s="15" t="n">
        <v>5</v>
      </c>
      <c r="B39" s="44" t="n">
        <v>46306</v>
      </c>
      <c r="C39" s="45" t="s">
        <v>293</v>
      </c>
      <c r="D39" s="17"/>
      <c r="E39" s="15" t="s">
        <v>294</v>
      </c>
      <c r="F39" s="17"/>
      <c r="G39" s="17"/>
      <c r="H39" s="17"/>
      <c r="I39" s="17"/>
      <c r="J39" s="17"/>
      <c r="K39" s="17"/>
      <c r="L39" s="46" t="s">
        <v>295</v>
      </c>
    </row>
    <row r="40" customFormat="false" ht="15" hidden="false" customHeight="false" outlineLevel="0" collapsed="false">
      <c r="D40" s="3" t="s">
        <v>265</v>
      </c>
      <c r="E40" s="3" t="s">
        <v>214</v>
      </c>
      <c r="F40" s="3" t="s">
        <v>250</v>
      </c>
      <c r="G40" s="8" t="n">
        <f aca="false">Itens!R26</f>
        <v>32</v>
      </c>
      <c r="H40" s="7" t="str">
        <f aca="false">Itens!H26</f>
        <v>plano</v>
      </c>
      <c r="I40" s="3" t="s">
        <v>80</v>
      </c>
      <c r="K40" s="37" t="s">
        <v>215</v>
      </c>
      <c r="L40" s="22" t="s">
        <v>217</v>
      </c>
    </row>
    <row r="41" customFormat="false" ht="15" hidden="false" customHeight="false" outlineLevel="0" collapsed="false">
      <c r="D41" s="3" t="s">
        <v>247</v>
      </c>
      <c r="E41" s="3" t="s">
        <v>163</v>
      </c>
      <c r="F41" s="3" t="s">
        <v>248</v>
      </c>
      <c r="G41" s="8" t="n">
        <f aca="false">Itens!R16</f>
        <v>30</v>
      </c>
      <c r="H41" s="7" t="str">
        <f aca="false">Itens!H16</f>
        <v>plano</v>
      </c>
      <c r="I41" s="3"/>
      <c r="K41" s="37" t="s">
        <v>164</v>
      </c>
      <c r="L41" s="22" t="s">
        <v>167</v>
      </c>
    </row>
    <row r="42" customFormat="false" ht="15" hidden="false" customHeight="false" outlineLevel="0" collapsed="false">
      <c r="D42" s="3" t="s">
        <v>296</v>
      </c>
      <c r="E42" s="3" t="s">
        <v>297</v>
      </c>
      <c r="F42" s="3" t="s">
        <v>256</v>
      </c>
      <c r="I42" s="3"/>
      <c r="L42" s="22"/>
    </row>
    <row r="43" customFormat="false" ht="15" hidden="false" customHeight="false" outlineLevel="0" collapsed="false">
      <c r="D43" s="3" t="s">
        <v>298</v>
      </c>
      <c r="E43" s="3" t="s">
        <v>299</v>
      </c>
      <c r="F43" s="3" t="s">
        <v>246</v>
      </c>
      <c r="I43" s="3"/>
      <c r="L43" s="22" t="s">
        <v>300</v>
      </c>
    </row>
    <row r="44" customFormat="false" ht="15" hidden="false" customHeight="false" outlineLevel="0" collapsed="false">
      <c r="D44" s="3" t="s">
        <v>301</v>
      </c>
      <c r="E44" s="3" t="s">
        <v>302</v>
      </c>
      <c r="F44" s="3" t="s">
        <v>246</v>
      </c>
      <c r="I44" s="3"/>
      <c r="L44" s="22"/>
    </row>
    <row r="45" customFormat="false" ht="15" hidden="false" customHeight="false" outlineLevel="0" collapsed="false">
      <c r="E45" s="47" t="s">
        <v>303</v>
      </c>
      <c r="G45" s="18" t="n">
        <f aca="false">SUM(G40:G44)</f>
        <v>62</v>
      </c>
    </row>
    <row r="47" customFormat="false" ht="15" hidden="false" customHeight="false" outlineLevel="0" collapsed="false">
      <c r="E47" s="21" t="s">
        <v>304</v>
      </c>
      <c r="G47" s="9" t="n">
        <f aca="false">SUMIFS(Itens!$R:$R,Itens!$T:$T,"&gt;0")</f>
        <v>742.6</v>
      </c>
    </row>
  </sheetData>
  <dataValidations count="1">
    <dataValidation allowBlank="true" errorStyle="stop" operator="between" showDropDown="false" showErrorMessage="false" showInputMessage="false" sqref="J6:J11 J15:J19 J23:J27 J31:J36 J40:J44" type="list">
      <formula1>"sim,"</formula1>
      <formula2>0</formula2>
    </dataValidation>
  </dataValidations>
  <hyperlinks>
    <hyperlink ref="K6" r:id="rId1" display="bonjour-ratp.fr"/>
    <hyperlink ref="K8" r:id="rId2" display="sainte-chapelle.fr"/>
    <hyperlink ref="K11" r:id="rId3" display="bouillon-chartier.com"/>
    <hyperlink ref="K16" r:id="rId4" display="disneylandparis.com"/>
    <hyperlink ref="K23" r:id="rId5" display="disneylandparis.com"/>
    <hyperlink ref="K25" r:id="rId6" display="disneylandparis.com"/>
    <hyperlink ref="K31" r:id="rId7" display="louvre.fr"/>
    <hyperlink ref="K33" r:id="rId8" display="musee-orangerie.fr"/>
    <hyperlink ref="K35" r:id="rId9" display="toureiffel.paris"/>
    <hyperlink ref="K40" r:id="rId10" display="musee-orsay.fr"/>
    <hyperlink ref="K41" r:id="rId11" display="marchedaligre.fr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4"/>
    <col collapsed="false" customWidth="true" hidden="false" outlineLevel="0" max="5" min="3" style="0" width="12"/>
    <col collapsed="false" customWidth="true" hidden="false" outlineLevel="0" max="6" min="6" style="0" width="15"/>
    <col collapsed="false" customWidth="true" hidden="false" outlineLevel="0" max="7" min="7" style="0" width="34"/>
    <col collapsed="false" customWidth="true" hidden="false" outlineLevel="0" max="8" min="8" style="0" width="90"/>
  </cols>
  <sheetData>
    <row r="1" customFormat="false" ht="17.35" hidden="false" customHeight="false" outlineLevel="0" collapsed="false">
      <c r="A1" s="1" t="s">
        <v>237</v>
      </c>
    </row>
    <row r="2" customFormat="false" ht="15" hidden="false" customHeight="false" outlineLevel="0" collapsed="false">
      <c r="A2" s="21" t="s">
        <v>305</v>
      </c>
      <c r="B2" s="21" t="str">
        <f aca="false">COUNTIF(E5:E12,"feita")&amp;" de "&amp;COUNTA(A5:A12)&amp;" feitas"</f>
        <v>0 de 8 feitas</v>
      </c>
    </row>
    <row r="4" customFormat="false" ht="30" hidden="false" customHeight="true" outlineLevel="0" collapsed="false">
      <c r="A4" s="6" t="s">
        <v>306</v>
      </c>
      <c r="B4" s="6" t="s">
        <v>307</v>
      </c>
      <c r="C4" s="6" t="s">
        <v>308</v>
      </c>
      <c r="D4" s="6" t="s">
        <v>309</v>
      </c>
      <c r="E4" s="6" t="s">
        <v>54</v>
      </c>
      <c r="F4" s="6" t="s">
        <v>310</v>
      </c>
      <c r="G4" s="6" t="s">
        <v>107</v>
      </c>
      <c r="H4" s="6" t="s">
        <v>311</v>
      </c>
    </row>
    <row r="5" customFormat="false" ht="15" hidden="false" customHeight="false" outlineLevel="0" collapsed="false">
      <c r="A5" s="3" t="s">
        <v>312</v>
      </c>
      <c r="B5" s="3" t="s">
        <v>313</v>
      </c>
      <c r="C5" s="24" t="n">
        <v>46281</v>
      </c>
      <c r="D5" s="25" t="n">
        <f aca="true">IF(C5="","",C5-TODAY())</f>
        <v>4</v>
      </c>
      <c r="E5" s="23" t="s">
        <v>314</v>
      </c>
      <c r="F5" s="35"/>
      <c r="G5" s="37" t="s">
        <v>114</v>
      </c>
      <c r="H5" s="22" t="s">
        <v>315</v>
      </c>
    </row>
    <row r="6" customFormat="false" ht="15" hidden="false" customHeight="false" outlineLevel="0" collapsed="false">
      <c r="A6" s="3" t="s">
        <v>316</v>
      </c>
      <c r="B6" s="3" t="s">
        <v>313</v>
      </c>
      <c r="C6" s="24" t="n">
        <v>46283</v>
      </c>
      <c r="D6" s="25" t="n">
        <f aca="true">IF(C6="","",C6-TODAY())</f>
        <v>6</v>
      </c>
      <c r="E6" s="23" t="s">
        <v>314</v>
      </c>
      <c r="F6" s="35"/>
      <c r="G6" s="37" t="s">
        <v>198</v>
      </c>
      <c r="H6" s="22" t="s">
        <v>317</v>
      </c>
    </row>
    <row r="7" customFormat="false" ht="15" hidden="false" customHeight="false" outlineLevel="0" collapsed="false">
      <c r="A7" s="3" t="s">
        <v>318</v>
      </c>
      <c r="B7" s="3" t="s">
        <v>313</v>
      </c>
      <c r="C7" s="24" t="n">
        <v>46285</v>
      </c>
      <c r="D7" s="25" t="n">
        <f aca="true">IF(C7="","",C7-TODAY())</f>
        <v>8</v>
      </c>
      <c r="E7" s="23" t="s">
        <v>314</v>
      </c>
      <c r="F7" s="35"/>
      <c r="G7" s="37" t="s">
        <v>192</v>
      </c>
      <c r="H7" s="22" t="s">
        <v>319</v>
      </c>
    </row>
    <row r="8" customFormat="false" ht="15" hidden="false" customHeight="false" outlineLevel="0" collapsed="false">
      <c r="A8" s="3" t="s">
        <v>320</v>
      </c>
      <c r="B8" s="3" t="s">
        <v>313</v>
      </c>
      <c r="C8" s="24" t="n">
        <v>46285</v>
      </c>
      <c r="D8" s="25" t="n">
        <f aca="true">IF(C8="","",C8-TODAY())</f>
        <v>8</v>
      </c>
      <c r="E8" s="23" t="s">
        <v>314</v>
      </c>
      <c r="F8" s="35"/>
      <c r="G8" s="37" t="s">
        <v>129</v>
      </c>
      <c r="H8" s="22" t="s">
        <v>321</v>
      </c>
    </row>
    <row r="9" customFormat="false" ht="15" hidden="false" customHeight="false" outlineLevel="0" collapsed="false">
      <c r="A9" s="3" t="s">
        <v>322</v>
      </c>
      <c r="B9" s="3" t="s">
        <v>313</v>
      </c>
      <c r="C9" s="24" t="n">
        <v>46285</v>
      </c>
      <c r="D9" s="25" t="n">
        <f aca="true">IF(C9="","",C9-TODAY())</f>
        <v>8</v>
      </c>
      <c r="E9" s="23" t="s">
        <v>314</v>
      </c>
      <c r="F9" s="35"/>
      <c r="G9" s="37" t="s">
        <v>123</v>
      </c>
      <c r="H9" s="22" t="s">
        <v>323</v>
      </c>
    </row>
    <row r="10" customFormat="false" ht="15" hidden="false" customHeight="false" outlineLevel="0" collapsed="false">
      <c r="A10" s="3" t="s">
        <v>324</v>
      </c>
      <c r="B10" s="3" t="s">
        <v>325</v>
      </c>
      <c r="C10" s="24" t="n">
        <v>46290</v>
      </c>
      <c r="D10" s="25" t="n">
        <f aca="true">IF(C10="","",C10-TODAY())</f>
        <v>13</v>
      </c>
      <c r="E10" s="23" t="s">
        <v>314</v>
      </c>
      <c r="F10" s="35"/>
      <c r="G10" s="37" t="s">
        <v>204</v>
      </c>
      <c r="H10" s="22" t="s">
        <v>326</v>
      </c>
    </row>
    <row r="11" customFormat="false" ht="15" hidden="false" customHeight="false" outlineLevel="0" collapsed="false">
      <c r="A11" s="3" t="s">
        <v>327</v>
      </c>
      <c r="B11" s="3" t="s">
        <v>325</v>
      </c>
      <c r="C11" s="24" t="n">
        <v>46290</v>
      </c>
      <c r="D11" s="25" t="n">
        <f aca="true">IF(C11="","",C11-TODAY())</f>
        <v>13</v>
      </c>
      <c r="E11" s="23" t="s">
        <v>314</v>
      </c>
      <c r="F11" s="35"/>
      <c r="H11" s="22" t="s">
        <v>328</v>
      </c>
    </row>
    <row r="12" customFormat="false" ht="15" hidden="false" customHeight="false" outlineLevel="0" collapsed="false">
      <c r="A12" s="3" t="s">
        <v>329</v>
      </c>
      <c r="B12" s="3" t="s">
        <v>330</v>
      </c>
      <c r="C12" s="24" t="n">
        <v>46295</v>
      </c>
      <c r="D12" s="25" t="n">
        <f aca="true">IF(C12="","",C12-TODAY())</f>
        <v>18</v>
      </c>
      <c r="E12" s="23" t="s">
        <v>314</v>
      </c>
      <c r="F12" s="35"/>
      <c r="G12" s="37" t="s">
        <v>186</v>
      </c>
      <c r="H12" s="22" t="s">
        <v>331</v>
      </c>
    </row>
  </sheetData>
  <dataValidations count="1">
    <dataValidation allowBlank="false" errorStyle="stop" operator="between" showDropDown="false" showErrorMessage="false" showInputMessage="false" sqref="E5:E12" type="list">
      <formula1>"pendente,feita,não precisa"</formula1>
      <formula2>0</formula2>
    </dataValidation>
  </dataValidations>
  <hyperlinks>
    <hyperlink ref="G5" r:id="rId1" display="transavia.com"/>
    <hyperlink ref="G6" r:id="rId2" display="toureiffel.paris"/>
    <hyperlink ref="G7" r:id="rId3" display="disneylandparis.com"/>
    <hyperlink ref="G8" r:id="rId4" display="hotel-bb.com"/>
    <hyperlink ref="G9" r:id="rId5" display="all.accor.com"/>
    <hyperlink ref="G10" r:id="rId6" display="louvre.fr"/>
    <hyperlink ref="G12" r:id="rId7" display="sainte-chapelle.fr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"/>
    <col collapsed="false" customWidth="true" hidden="false" outlineLevel="0" max="3" min="3" style="0" width="48"/>
    <col collapsed="false" customWidth="true" hidden="false" outlineLevel="0" max="4" min="4" style="0" width="12"/>
    <col collapsed="false" customWidth="true" hidden="false" outlineLevel="0" max="5" min="5" style="0" width="7"/>
    <col collapsed="false" customWidth="true" hidden="false" outlineLevel="0" max="6" min="6" style="0" width="8"/>
    <col collapsed="false" customWidth="true" hidden="false" outlineLevel="0" max="8" min="7" style="0" width="14"/>
  </cols>
  <sheetData>
    <row r="1" customFormat="false" ht="17.35" hidden="false" customHeight="false" outlineLevel="0" collapsed="false">
      <c r="A1" s="1" t="s">
        <v>332</v>
      </c>
    </row>
    <row r="2" customFormat="false" ht="15" hidden="false" customHeight="false" outlineLevel="0" collapsed="false">
      <c r="A2" s="21" t="s">
        <v>333</v>
      </c>
      <c r="B2" s="18" t="n">
        <f aca="false">SUM(G5:G205)</f>
        <v>0</v>
      </c>
    </row>
    <row r="4" customFormat="false" ht="30" hidden="false" customHeight="true" outlineLevel="0" collapsed="false">
      <c r="A4" s="6" t="s">
        <v>59</v>
      </c>
      <c r="B4" s="6" t="s">
        <v>4</v>
      </c>
      <c r="C4" s="6" t="s">
        <v>334</v>
      </c>
      <c r="D4" s="6" t="s">
        <v>335</v>
      </c>
      <c r="E4" s="6" t="s">
        <v>57</v>
      </c>
      <c r="F4" s="6" t="s">
        <v>336</v>
      </c>
      <c r="G4" s="6" t="s">
        <v>41</v>
      </c>
      <c r="H4" s="6" t="s">
        <v>337</v>
      </c>
    </row>
    <row r="5" customFormat="false" ht="15" hidden="false" customHeight="false" outlineLevel="0" collapsed="false">
      <c r="A5" s="24" t="n">
        <v>46302</v>
      </c>
      <c r="B5" s="23" t="s">
        <v>78</v>
      </c>
      <c r="C5" s="23" t="s">
        <v>338</v>
      </c>
      <c r="D5" s="48" t="n">
        <v>38.5</v>
      </c>
      <c r="E5" s="23" t="s">
        <v>41</v>
      </c>
      <c r="F5" s="23" t="s">
        <v>80</v>
      </c>
      <c r="G5" s="8" t="n">
        <f aca="false">IF(OR(D5="",F5="sim"),0,D5*IFERROR(INDEX(Parâmetros!$B$22:$B$22,MATCH(E5,Parâmetros!$A$22:$A$22,0)),1)*(1+IF(E5=Parâmetros!$B$9,0,Parâmetros!$B$14)))</f>
        <v>0</v>
      </c>
      <c r="H5" s="23" t="s">
        <v>339</v>
      </c>
    </row>
    <row r="6" customFormat="false" ht="15" hidden="false" customHeight="false" outlineLevel="0" collapsed="false">
      <c r="G6" s="8" t="n">
        <f aca="false">IF(OR(D6="",F6="sim"),0,D6*IFERROR(INDEX(Parâmetros!$B$22:$B$22,MATCH(E6,Parâmetros!$A$22:$A$22,0)),1)*(1+IF(E6=Parâmetros!$B$9,0,Parâmetros!$B$14)))</f>
        <v>0</v>
      </c>
    </row>
    <row r="7" customFormat="false" ht="15" hidden="false" customHeight="false" outlineLevel="0" collapsed="false">
      <c r="G7" s="8" t="n">
        <f aca="false">IF(OR(D7="",F7="sim"),0,D7*IFERROR(INDEX(Parâmetros!$B$22:$B$22,MATCH(E7,Parâmetros!$A$22:$A$22,0)),1)*(1+IF(E7=Parâmetros!$B$9,0,Parâmetros!$B$14)))</f>
        <v>0</v>
      </c>
    </row>
    <row r="8" customFormat="false" ht="15" hidden="false" customHeight="false" outlineLevel="0" collapsed="false">
      <c r="G8" s="8" t="n">
        <f aca="false">IF(OR(D8="",F8="sim"),0,D8*IFERROR(INDEX(Parâmetros!$B$22:$B$22,MATCH(E8,Parâmetros!$A$22:$A$22,0)),1)*(1+IF(E8=Parâmetros!$B$9,0,Parâmetros!$B$14)))</f>
        <v>0</v>
      </c>
    </row>
    <row r="9" customFormat="false" ht="15" hidden="false" customHeight="false" outlineLevel="0" collapsed="false">
      <c r="G9" s="8" t="n">
        <f aca="false">IF(OR(D9="",F9="sim"),0,D9*IFERROR(INDEX(Parâmetros!$B$22:$B$22,MATCH(E9,Parâmetros!$A$22:$A$22,0)),1)*(1+IF(E9=Parâmetros!$B$9,0,Parâmetros!$B$14)))</f>
        <v>0</v>
      </c>
    </row>
    <row r="10" customFormat="false" ht="15" hidden="false" customHeight="false" outlineLevel="0" collapsed="false">
      <c r="G10" s="8" t="n">
        <f aca="false">IF(OR(D10="",F10="sim"),0,D10*IFERROR(INDEX(Parâmetros!$B$22:$B$22,MATCH(E10,Parâmetros!$A$22:$A$22,0)),1)*(1+IF(E10=Parâmetros!$B$9,0,Parâmetros!$B$14)))</f>
        <v>0</v>
      </c>
    </row>
    <row r="11" customFormat="false" ht="15" hidden="false" customHeight="false" outlineLevel="0" collapsed="false">
      <c r="G11" s="8" t="n">
        <f aca="false">IF(OR(D11="",F11="sim"),0,D11*IFERROR(INDEX(Parâmetros!$B$22:$B$22,MATCH(E11,Parâmetros!$A$22:$A$22,0)),1)*(1+IF(E11=Parâmetros!$B$9,0,Parâmetros!$B$14)))</f>
        <v>0</v>
      </c>
    </row>
    <row r="12" customFormat="false" ht="15" hidden="false" customHeight="false" outlineLevel="0" collapsed="false">
      <c r="G12" s="8" t="n">
        <f aca="false">IF(OR(D12="",F12="sim"),0,D12*IFERROR(INDEX(Parâmetros!$B$22:$B$22,MATCH(E12,Parâmetros!$A$22:$A$22,0)),1)*(1+IF(E12=Parâmetros!$B$9,0,Parâmetros!$B$14)))</f>
        <v>0</v>
      </c>
    </row>
    <row r="13" customFormat="false" ht="15" hidden="false" customHeight="false" outlineLevel="0" collapsed="false">
      <c r="G13" s="8" t="n">
        <f aca="false">IF(OR(D13="",F13="sim"),0,D13*IFERROR(INDEX(Parâmetros!$B$22:$B$22,MATCH(E13,Parâmetros!$A$22:$A$22,0)),1)*(1+IF(E13=Parâmetros!$B$9,0,Parâmetros!$B$14)))</f>
        <v>0</v>
      </c>
    </row>
    <row r="14" customFormat="false" ht="15" hidden="false" customHeight="false" outlineLevel="0" collapsed="false">
      <c r="G14" s="8" t="n">
        <f aca="false">IF(OR(D14="",F14="sim"),0,D14*IFERROR(INDEX(Parâmetros!$B$22:$B$22,MATCH(E14,Parâmetros!$A$22:$A$22,0)),1)*(1+IF(E14=Parâmetros!$B$9,0,Parâmetros!$B$14)))</f>
        <v>0</v>
      </c>
    </row>
    <row r="15" customFormat="false" ht="15" hidden="false" customHeight="false" outlineLevel="0" collapsed="false">
      <c r="G15" s="8" t="n">
        <f aca="false">IF(OR(D15="",F15="sim"),0,D15*IFERROR(INDEX(Parâmetros!$B$22:$B$22,MATCH(E15,Parâmetros!$A$22:$A$22,0)),1)*(1+IF(E15=Parâmetros!$B$9,0,Parâmetros!$B$14)))</f>
        <v>0</v>
      </c>
    </row>
    <row r="16" customFormat="false" ht="15" hidden="false" customHeight="false" outlineLevel="0" collapsed="false">
      <c r="G16" s="8" t="n">
        <f aca="false">IF(OR(D16="",F16="sim"),0,D16*IFERROR(INDEX(Parâmetros!$B$22:$B$22,MATCH(E16,Parâmetros!$A$22:$A$22,0)),1)*(1+IF(E16=Parâmetros!$B$9,0,Parâmetros!$B$14)))</f>
        <v>0</v>
      </c>
    </row>
    <row r="17" customFormat="false" ht="15" hidden="false" customHeight="false" outlineLevel="0" collapsed="false">
      <c r="G17" s="8" t="n">
        <f aca="false">IF(OR(D17="",F17="sim"),0,D17*IFERROR(INDEX(Parâmetros!$B$22:$B$22,MATCH(E17,Parâmetros!$A$22:$A$22,0)),1)*(1+IF(E17=Parâmetros!$B$9,0,Parâmetros!$B$14)))</f>
        <v>0</v>
      </c>
    </row>
    <row r="18" customFormat="false" ht="15" hidden="false" customHeight="false" outlineLevel="0" collapsed="false">
      <c r="G18" s="8" t="n">
        <f aca="false">IF(OR(D18="",F18="sim"),0,D18*IFERROR(INDEX(Parâmetros!$B$22:$B$22,MATCH(E18,Parâmetros!$A$22:$A$22,0)),1)*(1+IF(E18=Parâmetros!$B$9,0,Parâmetros!$B$14)))</f>
        <v>0</v>
      </c>
    </row>
    <row r="19" customFormat="false" ht="15" hidden="false" customHeight="false" outlineLevel="0" collapsed="false">
      <c r="G19" s="8" t="n">
        <f aca="false">IF(OR(D19="",F19="sim"),0,D19*IFERROR(INDEX(Parâmetros!$B$22:$B$22,MATCH(E19,Parâmetros!$A$22:$A$22,0)),1)*(1+IF(E19=Parâmetros!$B$9,0,Parâmetros!$B$14)))</f>
        <v>0</v>
      </c>
    </row>
    <row r="20" customFormat="false" ht="15" hidden="false" customHeight="false" outlineLevel="0" collapsed="false">
      <c r="G20" s="8" t="n">
        <f aca="false">IF(OR(D20="",F20="sim"),0,D20*IFERROR(INDEX(Parâmetros!$B$22:$B$22,MATCH(E20,Parâmetros!$A$22:$A$22,0)),1)*(1+IF(E20=Parâmetros!$B$9,0,Parâmetros!$B$14)))</f>
        <v>0</v>
      </c>
    </row>
    <row r="21" customFormat="false" ht="15" hidden="false" customHeight="false" outlineLevel="0" collapsed="false">
      <c r="G21" s="8" t="n">
        <f aca="false">IF(OR(D21="",F21="sim"),0,D21*IFERROR(INDEX(Parâmetros!$B$22:$B$22,MATCH(E21,Parâmetros!$A$22:$A$22,0)),1)*(1+IF(E21=Parâmetros!$B$9,0,Parâmetros!$B$14)))</f>
        <v>0</v>
      </c>
    </row>
    <row r="22" customFormat="false" ht="15" hidden="false" customHeight="false" outlineLevel="0" collapsed="false">
      <c r="G22" s="8" t="n">
        <f aca="false">IF(OR(D22="",F22="sim"),0,D22*IFERROR(INDEX(Parâmetros!$B$22:$B$22,MATCH(E22,Parâmetros!$A$22:$A$22,0)),1)*(1+IF(E22=Parâmetros!$B$9,0,Parâmetros!$B$14)))</f>
        <v>0</v>
      </c>
    </row>
    <row r="23" customFormat="false" ht="15" hidden="false" customHeight="false" outlineLevel="0" collapsed="false">
      <c r="G23" s="8" t="n">
        <f aca="false">IF(OR(D23="",F23="sim"),0,D23*IFERROR(INDEX(Parâmetros!$B$22:$B$22,MATCH(E23,Parâmetros!$A$22:$A$22,0)),1)*(1+IF(E23=Parâmetros!$B$9,0,Parâmetros!$B$14)))</f>
        <v>0</v>
      </c>
    </row>
    <row r="24" customFormat="false" ht="15" hidden="false" customHeight="false" outlineLevel="0" collapsed="false">
      <c r="G24" s="8" t="n">
        <f aca="false">IF(OR(D24="",F24="sim"),0,D24*IFERROR(INDEX(Parâmetros!$B$22:$B$22,MATCH(E24,Parâmetros!$A$22:$A$22,0)),1)*(1+IF(E24=Parâmetros!$B$9,0,Parâmetros!$B$14)))</f>
        <v>0</v>
      </c>
    </row>
    <row r="25" customFormat="false" ht="15" hidden="false" customHeight="false" outlineLevel="0" collapsed="false">
      <c r="G25" s="8" t="n">
        <f aca="false">IF(OR(D25="",F25="sim"),0,D25*IFERROR(INDEX(Parâmetros!$B$22:$B$22,MATCH(E25,Parâmetros!$A$22:$A$22,0)),1)*(1+IF(E25=Parâmetros!$B$9,0,Parâmetros!$B$14)))</f>
        <v>0</v>
      </c>
    </row>
    <row r="26" customFormat="false" ht="15" hidden="false" customHeight="false" outlineLevel="0" collapsed="false">
      <c r="G26" s="8" t="n">
        <f aca="false">IF(OR(D26="",F26="sim"),0,D26*IFERROR(INDEX(Parâmetros!$B$22:$B$22,MATCH(E26,Parâmetros!$A$22:$A$22,0)),1)*(1+IF(E26=Parâmetros!$B$9,0,Parâmetros!$B$14)))</f>
        <v>0</v>
      </c>
    </row>
    <row r="27" customFormat="false" ht="15" hidden="false" customHeight="false" outlineLevel="0" collapsed="false">
      <c r="G27" s="8" t="n">
        <f aca="false">IF(OR(D27="",F27="sim"),0,D27*IFERROR(INDEX(Parâmetros!$B$22:$B$22,MATCH(E27,Parâmetros!$A$22:$A$22,0)),1)*(1+IF(E27=Parâmetros!$B$9,0,Parâmetros!$B$14)))</f>
        <v>0</v>
      </c>
    </row>
    <row r="28" customFormat="false" ht="15" hidden="false" customHeight="false" outlineLevel="0" collapsed="false">
      <c r="G28" s="8" t="n">
        <f aca="false">IF(OR(D28="",F28="sim"),0,D28*IFERROR(INDEX(Parâmetros!$B$22:$B$22,MATCH(E28,Parâmetros!$A$22:$A$22,0)),1)*(1+IF(E28=Parâmetros!$B$9,0,Parâmetros!$B$14)))</f>
        <v>0</v>
      </c>
    </row>
    <row r="29" customFormat="false" ht="15" hidden="false" customHeight="false" outlineLevel="0" collapsed="false">
      <c r="G29" s="8" t="n">
        <f aca="false">IF(OR(D29="",F29="sim"),0,D29*IFERROR(INDEX(Parâmetros!$B$22:$B$22,MATCH(E29,Parâmetros!$A$22:$A$22,0)),1)*(1+IF(E29=Parâmetros!$B$9,0,Parâmetros!$B$14)))</f>
        <v>0</v>
      </c>
    </row>
    <row r="30" customFormat="false" ht="15" hidden="false" customHeight="false" outlineLevel="0" collapsed="false">
      <c r="G30" s="8" t="n">
        <f aca="false">IF(OR(D30="",F30="sim"),0,D30*IFERROR(INDEX(Parâmetros!$B$22:$B$22,MATCH(E30,Parâmetros!$A$22:$A$22,0)),1)*(1+IF(E30=Parâmetros!$B$9,0,Parâmetros!$B$14)))</f>
        <v>0</v>
      </c>
    </row>
    <row r="31" customFormat="false" ht="15" hidden="false" customHeight="false" outlineLevel="0" collapsed="false">
      <c r="G31" s="8" t="n">
        <f aca="false">IF(OR(D31="",F31="sim"),0,D31*IFERROR(INDEX(Parâmetros!$B$22:$B$22,MATCH(E31,Parâmetros!$A$22:$A$22,0)),1)*(1+IF(E31=Parâmetros!$B$9,0,Parâmetros!$B$14)))</f>
        <v>0</v>
      </c>
    </row>
    <row r="32" customFormat="false" ht="15" hidden="false" customHeight="false" outlineLevel="0" collapsed="false">
      <c r="G32" s="8" t="n">
        <f aca="false">IF(OR(D32="",F32="sim"),0,D32*IFERROR(INDEX(Parâmetros!$B$22:$B$22,MATCH(E32,Parâmetros!$A$22:$A$22,0)),1)*(1+IF(E32=Parâmetros!$B$9,0,Parâmetros!$B$14)))</f>
        <v>0</v>
      </c>
    </row>
    <row r="33" customFormat="false" ht="15" hidden="false" customHeight="false" outlineLevel="0" collapsed="false">
      <c r="G33" s="8" t="n">
        <f aca="false">IF(OR(D33="",F33="sim"),0,D33*IFERROR(INDEX(Parâmetros!$B$22:$B$22,MATCH(E33,Parâmetros!$A$22:$A$22,0)),1)*(1+IF(E33=Parâmetros!$B$9,0,Parâmetros!$B$14)))</f>
        <v>0</v>
      </c>
    </row>
    <row r="34" customFormat="false" ht="15" hidden="false" customHeight="false" outlineLevel="0" collapsed="false">
      <c r="G34" s="8" t="n">
        <f aca="false">IF(OR(D34="",F34="sim"),0,D34*IFERROR(INDEX(Parâmetros!$B$22:$B$22,MATCH(E34,Parâmetros!$A$22:$A$22,0)),1)*(1+IF(E34=Parâmetros!$B$9,0,Parâmetros!$B$14)))</f>
        <v>0</v>
      </c>
    </row>
    <row r="35" customFormat="false" ht="15" hidden="false" customHeight="false" outlineLevel="0" collapsed="false">
      <c r="G35" s="8" t="n">
        <f aca="false">IF(OR(D35="",F35="sim"),0,D35*IFERROR(INDEX(Parâmetros!$B$22:$B$22,MATCH(E35,Parâmetros!$A$22:$A$22,0)),1)*(1+IF(E35=Parâmetros!$B$9,0,Parâmetros!$B$14)))</f>
        <v>0</v>
      </c>
    </row>
    <row r="36" customFormat="false" ht="15" hidden="false" customHeight="false" outlineLevel="0" collapsed="false">
      <c r="G36" s="8" t="n">
        <f aca="false">IF(OR(D36="",F36="sim"),0,D36*IFERROR(INDEX(Parâmetros!$B$22:$B$22,MATCH(E36,Parâmetros!$A$22:$A$22,0)),1)*(1+IF(E36=Parâmetros!$B$9,0,Parâmetros!$B$14)))</f>
        <v>0</v>
      </c>
    </row>
    <row r="37" customFormat="false" ht="15" hidden="false" customHeight="false" outlineLevel="0" collapsed="false">
      <c r="G37" s="8" t="n">
        <f aca="false">IF(OR(D37="",F37="sim"),0,D37*IFERROR(INDEX(Parâmetros!$B$22:$B$22,MATCH(E37,Parâmetros!$A$22:$A$22,0)),1)*(1+IF(E37=Parâmetros!$B$9,0,Parâmetros!$B$14)))</f>
        <v>0</v>
      </c>
    </row>
    <row r="38" customFormat="false" ht="15" hidden="false" customHeight="false" outlineLevel="0" collapsed="false">
      <c r="G38" s="8" t="n">
        <f aca="false">IF(OR(D38="",F38="sim"),0,D38*IFERROR(INDEX(Parâmetros!$B$22:$B$22,MATCH(E38,Parâmetros!$A$22:$A$22,0)),1)*(1+IF(E38=Parâmetros!$B$9,0,Parâmetros!$B$14)))</f>
        <v>0</v>
      </c>
    </row>
    <row r="39" customFormat="false" ht="15" hidden="false" customHeight="false" outlineLevel="0" collapsed="false">
      <c r="G39" s="8" t="n">
        <f aca="false">IF(OR(D39="",F39="sim"),0,D39*IFERROR(INDEX(Parâmetros!$B$22:$B$22,MATCH(E39,Parâmetros!$A$22:$A$22,0)),1)*(1+IF(E39=Parâmetros!$B$9,0,Parâmetros!$B$14)))</f>
        <v>0</v>
      </c>
    </row>
    <row r="40" customFormat="false" ht="15" hidden="false" customHeight="false" outlineLevel="0" collapsed="false">
      <c r="G40" s="8" t="n">
        <f aca="false">IF(OR(D40="",F40="sim"),0,D40*IFERROR(INDEX(Parâmetros!$B$22:$B$22,MATCH(E40,Parâmetros!$A$22:$A$22,0)),1)*(1+IF(E40=Parâmetros!$B$9,0,Parâmetros!$B$14)))</f>
        <v>0</v>
      </c>
    </row>
    <row r="41" customFormat="false" ht="15" hidden="false" customHeight="false" outlineLevel="0" collapsed="false">
      <c r="G41" s="8" t="n">
        <f aca="false">IF(OR(D41="",F41="sim"),0,D41*IFERROR(INDEX(Parâmetros!$B$22:$B$22,MATCH(E41,Parâmetros!$A$22:$A$22,0)),1)*(1+IF(E41=Parâmetros!$B$9,0,Parâmetros!$B$14)))</f>
        <v>0</v>
      </c>
    </row>
    <row r="42" customFormat="false" ht="15" hidden="false" customHeight="false" outlineLevel="0" collapsed="false">
      <c r="G42" s="8" t="n">
        <f aca="false">IF(OR(D42="",F42="sim"),0,D42*IFERROR(INDEX(Parâmetros!$B$22:$B$22,MATCH(E42,Parâmetros!$A$22:$A$22,0)),1)*(1+IF(E42=Parâmetros!$B$9,0,Parâmetros!$B$14)))</f>
        <v>0</v>
      </c>
    </row>
    <row r="43" customFormat="false" ht="15" hidden="false" customHeight="false" outlineLevel="0" collapsed="false">
      <c r="G43" s="8" t="n">
        <f aca="false">IF(OR(D43="",F43="sim"),0,D43*IFERROR(INDEX(Parâmetros!$B$22:$B$22,MATCH(E43,Parâmetros!$A$22:$A$22,0)),1)*(1+IF(E43=Parâmetros!$B$9,0,Parâmetros!$B$14)))</f>
        <v>0</v>
      </c>
    </row>
    <row r="44" customFormat="false" ht="15" hidden="false" customHeight="false" outlineLevel="0" collapsed="false">
      <c r="G44" s="8" t="n">
        <f aca="false">IF(OR(D44="",F44="sim"),0,D44*IFERROR(INDEX(Parâmetros!$B$22:$B$22,MATCH(E44,Parâmetros!$A$22:$A$22,0)),1)*(1+IF(E44=Parâmetros!$B$9,0,Parâmetros!$B$14)))</f>
        <v>0</v>
      </c>
    </row>
    <row r="45" customFormat="false" ht="15" hidden="false" customHeight="false" outlineLevel="0" collapsed="false">
      <c r="G45" s="8" t="n">
        <f aca="false">IF(OR(D45="",F45="sim"),0,D45*IFERROR(INDEX(Parâmetros!$B$22:$B$22,MATCH(E45,Parâmetros!$A$22:$A$22,0)),1)*(1+IF(E45=Parâmetros!$B$9,0,Parâmetros!$B$14)))</f>
        <v>0</v>
      </c>
    </row>
    <row r="46" customFormat="false" ht="15" hidden="false" customHeight="false" outlineLevel="0" collapsed="false">
      <c r="G46" s="8" t="n">
        <f aca="false">IF(OR(D46="",F46="sim"),0,D46*IFERROR(INDEX(Parâmetros!$B$22:$B$22,MATCH(E46,Parâmetros!$A$22:$A$22,0)),1)*(1+IF(E46=Parâmetros!$B$9,0,Parâmetros!$B$14)))</f>
        <v>0</v>
      </c>
    </row>
    <row r="47" customFormat="false" ht="15" hidden="false" customHeight="false" outlineLevel="0" collapsed="false">
      <c r="G47" s="8" t="n">
        <f aca="false">IF(OR(D47="",F47="sim"),0,D47*IFERROR(INDEX(Parâmetros!$B$22:$B$22,MATCH(E47,Parâmetros!$A$22:$A$22,0)),1)*(1+IF(E47=Parâmetros!$B$9,0,Parâmetros!$B$14)))</f>
        <v>0</v>
      </c>
    </row>
    <row r="48" customFormat="false" ht="15" hidden="false" customHeight="false" outlineLevel="0" collapsed="false">
      <c r="G48" s="8" t="n">
        <f aca="false">IF(OR(D48="",F48="sim"),0,D48*IFERROR(INDEX(Parâmetros!$B$22:$B$22,MATCH(E48,Parâmetros!$A$22:$A$22,0)),1)*(1+IF(E48=Parâmetros!$B$9,0,Parâmetros!$B$14)))</f>
        <v>0</v>
      </c>
    </row>
    <row r="49" customFormat="false" ht="15" hidden="false" customHeight="false" outlineLevel="0" collapsed="false">
      <c r="G49" s="8" t="n">
        <f aca="false">IF(OR(D49="",F49="sim"),0,D49*IFERROR(INDEX(Parâmetros!$B$22:$B$22,MATCH(E49,Parâmetros!$A$22:$A$22,0)),1)*(1+IF(E49=Parâmetros!$B$9,0,Parâmetros!$B$14)))</f>
        <v>0</v>
      </c>
    </row>
    <row r="50" customFormat="false" ht="15" hidden="false" customHeight="false" outlineLevel="0" collapsed="false">
      <c r="G50" s="8" t="n">
        <f aca="false">IF(OR(D50="",F50="sim"),0,D50*IFERROR(INDEX(Parâmetros!$B$22:$B$22,MATCH(E50,Parâmetros!$A$22:$A$22,0)),1)*(1+IF(E50=Parâmetros!$B$9,0,Parâmetros!$B$14)))</f>
        <v>0</v>
      </c>
    </row>
    <row r="51" customFormat="false" ht="15" hidden="false" customHeight="false" outlineLevel="0" collapsed="false">
      <c r="G51" s="8" t="n">
        <f aca="false">IF(OR(D51="",F51="sim"),0,D51*IFERROR(INDEX(Parâmetros!$B$22:$B$22,MATCH(E51,Parâmetros!$A$22:$A$22,0)),1)*(1+IF(E51=Parâmetros!$B$9,0,Parâmetros!$B$14)))</f>
        <v>0</v>
      </c>
    </row>
    <row r="52" customFormat="false" ht="15" hidden="false" customHeight="false" outlineLevel="0" collapsed="false">
      <c r="G52" s="8" t="n">
        <f aca="false">IF(OR(D52="",F52="sim"),0,D52*IFERROR(INDEX(Parâmetros!$B$22:$B$22,MATCH(E52,Parâmetros!$A$22:$A$22,0)),1)*(1+IF(E52=Parâmetros!$B$9,0,Parâmetros!$B$14)))</f>
        <v>0</v>
      </c>
    </row>
    <row r="53" customFormat="false" ht="15" hidden="false" customHeight="false" outlineLevel="0" collapsed="false">
      <c r="G53" s="8" t="n">
        <f aca="false">IF(OR(D53="",F53="sim"),0,D53*IFERROR(INDEX(Parâmetros!$B$22:$B$22,MATCH(E53,Parâmetros!$A$22:$A$22,0)),1)*(1+IF(E53=Parâmetros!$B$9,0,Parâmetros!$B$14)))</f>
        <v>0</v>
      </c>
    </row>
    <row r="54" customFormat="false" ht="15" hidden="false" customHeight="false" outlineLevel="0" collapsed="false">
      <c r="G54" s="8" t="n">
        <f aca="false">IF(OR(D54="",F54="sim"),0,D54*IFERROR(INDEX(Parâmetros!$B$22:$B$22,MATCH(E54,Parâmetros!$A$22:$A$22,0)),1)*(1+IF(E54=Parâmetros!$B$9,0,Parâmetros!$B$14)))</f>
        <v>0</v>
      </c>
    </row>
    <row r="55" customFormat="false" ht="15" hidden="false" customHeight="false" outlineLevel="0" collapsed="false">
      <c r="G55" s="8" t="n">
        <f aca="false">IF(OR(D55="",F55="sim"),0,D55*IFERROR(INDEX(Parâmetros!$B$22:$B$22,MATCH(E55,Parâmetros!$A$22:$A$22,0)),1)*(1+IF(E55=Parâmetros!$B$9,0,Parâmetros!$B$14)))</f>
        <v>0</v>
      </c>
    </row>
    <row r="56" customFormat="false" ht="15" hidden="false" customHeight="false" outlineLevel="0" collapsed="false">
      <c r="G56" s="8" t="n">
        <f aca="false">IF(OR(D56="",F56="sim"),0,D56*IFERROR(INDEX(Parâmetros!$B$22:$B$22,MATCH(E56,Parâmetros!$A$22:$A$22,0)),1)*(1+IF(E56=Parâmetros!$B$9,0,Parâmetros!$B$14)))</f>
        <v>0</v>
      </c>
    </row>
    <row r="57" customFormat="false" ht="15" hidden="false" customHeight="false" outlineLevel="0" collapsed="false">
      <c r="G57" s="8" t="n">
        <f aca="false">IF(OR(D57="",F57="sim"),0,D57*IFERROR(INDEX(Parâmetros!$B$22:$B$22,MATCH(E57,Parâmetros!$A$22:$A$22,0)),1)*(1+IF(E57=Parâmetros!$B$9,0,Parâmetros!$B$14)))</f>
        <v>0</v>
      </c>
    </row>
    <row r="58" customFormat="false" ht="15" hidden="false" customHeight="false" outlineLevel="0" collapsed="false">
      <c r="G58" s="8" t="n">
        <f aca="false">IF(OR(D58="",F58="sim"),0,D58*IFERROR(INDEX(Parâmetros!$B$22:$B$22,MATCH(E58,Parâmetros!$A$22:$A$22,0)),1)*(1+IF(E58=Parâmetros!$B$9,0,Parâmetros!$B$14)))</f>
        <v>0</v>
      </c>
    </row>
    <row r="59" customFormat="false" ht="15" hidden="false" customHeight="false" outlineLevel="0" collapsed="false">
      <c r="G59" s="8" t="n">
        <f aca="false">IF(OR(D59="",F59="sim"),0,D59*IFERROR(INDEX(Parâmetros!$B$22:$B$22,MATCH(E59,Parâmetros!$A$22:$A$22,0)),1)*(1+IF(E59=Parâmetros!$B$9,0,Parâmetros!$B$14)))</f>
        <v>0</v>
      </c>
    </row>
    <row r="60" customFormat="false" ht="15" hidden="false" customHeight="false" outlineLevel="0" collapsed="false">
      <c r="G60" s="8" t="n">
        <f aca="false">IF(OR(D60="",F60="sim"),0,D60*IFERROR(INDEX(Parâmetros!$B$22:$B$22,MATCH(E60,Parâmetros!$A$22:$A$22,0)),1)*(1+IF(E60=Parâmetros!$B$9,0,Parâmetros!$B$14)))</f>
        <v>0</v>
      </c>
    </row>
    <row r="61" customFormat="false" ht="15" hidden="false" customHeight="false" outlineLevel="0" collapsed="false">
      <c r="G61" s="8" t="n">
        <f aca="false">IF(OR(D61="",F61="sim"),0,D61*IFERROR(INDEX(Parâmetros!$B$22:$B$22,MATCH(E61,Parâmetros!$A$22:$A$22,0)),1)*(1+IF(E61=Parâmetros!$B$9,0,Parâmetros!$B$14)))</f>
        <v>0</v>
      </c>
    </row>
    <row r="62" customFormat="false" ht="15" hidden="false" customHeight="false" outlineLevel="0" collapsed="false">
      <c r="G62" s="8" t="n">
        <f aca="false">IF(OR(D62="",F62="sim"),0,D62*IFERROR(INDEX(Parâmetros!$B$22:$B$22,MATCH(E62,Parâmetros!$A$22:$A$22,0)),1)*(1+IF(E62=Parâmetros!$B$9,0,Parâmetros!$B$14)))</f>
        <v>0</v>
      </c>
    </row>
    <row r="63" customFormat="false" ht="15" hidden="false" customHeight="false" outlineLevel="0" collapsed="false">
      <c r="G63" s="8" t="n">
        <f aca="false">IF(OR(D63="",F63="sim"),0,D63*IFERROR(INDEX(Parâmetros!$B$22:$B$22,MATCH(E63,Parâmetros!$A$22:$A$22,0)),1)*(1+IF(E63=Parâmetros!$B$9,0,Parâmetros!$B$14)))</f>
        <v>0</v>
      </c>
    </row>
    <row r="64" customFormat="false" ht="15" hidden="false" customHeight="false" outlineLevel="0" collapsed="false">
      <c r="G64" s="8" t="n">
        <f aca="false">IF(OR(D64="",F64="sim"),0,D64*IFERROR(INDEX(Parâmetros!$B$22:$B$22,MATCH(E64,Parâmetros!$A$22:$A$22,0)),1)*(1+IF(E64=Parâmetros!$B$9,0,Parâmetros!$B$14)))</f>
        <v>0</v>
      </c>
    </row>
    <row r="65" customFormat="false" ht="15" hidden="false" customHeight="false" outlineLevel="0" collapsed="false">
      <c r="G65" s="8" t="n">
        <f aca="false">IF(OR(D65="",F65="sim"),0,D65*IFERROR(INDEX(Parâmetros!$B$22:$B$22,MATCH(E65,Parâmetros!$A$22:$A$22,0)),1)*(1+IF(E65=Parâmetros!$B$9,0,Parâmetros!$B$14)))</f>
        <v>0</v>
      </c>
    </row>
    <row r="66" customFormat="false" ht="15" hidden="false" customHeight="false" outlineLevel="0" collapsed="false">
      <c r="G66" s="8" t="n">
        <f aca="false">IF(OR(D66="",F66="sim"),0,D66*IFERROR(INDEX(Parâmetros!$B$22:$B$22,MATCH(E66,Parâmetros!$A$22:$A$22,0)),1)*(1+IF(E66=Parâmetros!$B$9,0,Parâmetros!$B$14)))</f>
        <v>0</v>
      </c>
    </row>
    <row r="67" customFormat="false" ht="15" hidden="false" customHeight="false" outlineLevel="0" collapsed="false">
      <c r="G67" s="8" t="n">
        <f aca="false">IF(OR(D67="",F67="sim"),0,D67*IFERROR(INDEX(Parâmetros!$B$22:$B$22,MATCH(E67,Parâmetros!$A$22:$A$22,0)),1)*(1+IF(E67=Parâmetros!$B$9,0,Parâmetros!$B$14)))</f>
        <v>0</v>
      </c>
    </row>
    <row r="68" customFormat="false" ht="15" hidden="false" customHeight="false" outlineLevel="0" collapsed="false">
      <c r="G68" s="8" t="n">
        <f aca="false">IF(OR(D68="",F68="sim"),0,D68*IFERROR(INDEX(Parâmetros!$B$22:$B$22,MATCH(E68,Parâmetros!$A$22:$A$22,0)),1)*(1+IF(E68=Parâmetros!$B$9,0,Parâmetros!$B$14)))</f>
        <v>0</v>
      </c>
    </row>
    <row r="69" customFormat="false" ht="15" hidden="false" customHeight="false" outlineLevel="0" collapsed="false">
      <c r="G69" s="8" t="n">
        <f aca="false">IF(OR(D69="",F69="sim"),0,D69*IFERROR(INDEX(Parâmetros!$B$22:$B$22,MATCH(E69,Parâmetros!$A$22:$A$22,0)),1)*(1+IF(E69=Parâmetros!$B$9,0,Parâmetros!$B$14)))</f>
        <v>0</v>
      </c>
    </row>
    <row r="70" customFormat="false" ht="15" hidden="false" customHeight="false" outlineLevel="0" collapsed="false">
      <c r="G70" s="8" t="n">
        <f aca="false">IF(OR(D70="",F70="sim"),0,D70*IFERROR(INDEX(Parâmetros!$B$22:$B$22,MATCH(E70,Parâmetros!$A$22:$A$22,0)),1)*(1+IF(E70=Parâmetros!$B$9,0,Parâmetros!$B$14)))</f>
        <v>0</v>
      </c>
    </row>
    <row r="71" customFormat="false" ht="15" hidden="false" customHeight="false" outlineLevel="0" collapsed="false">
      <c r="G71" s="8" t="n">
        <f aca="false">IF(OR(D71="",F71="sim"),0,D71*IFERROR(INDEX(Parâmetros!$B$22:$B$22,MATCH(E71,Parâmetros!$A$22:$A$22,0)),1)*(1+IF(E71=Parâmetros!$B$9,0,Parâmetros!$B$14)))</f>
        <v>0</v>
      </c>
    </row>
    <row r="72" customFormat="false" ht="15" hidden="false" customHeight="false" outlineLevel="0" collapsed="false">
      <c r="G72" s="8" t="n">
        <f aca="false">IF(OR(D72="",F72="sim"),0,D72*IFERROR(INDEX(Parâmetros!$B$22:$B$22,MATCH(E72,Parâmetros!$A$22:$A$22,0)),1)*(1+IF(E72=Parâmetros!$B$9,0,Parâmetros!$B$14)))</f>
        <v>0</v>
      </c>
    </row>
    <row r="73" customFormat="false" ht="15" hidden="false" customHeight="false" outlineLevel="0" collapsed="false">
      <c r="G73" s="8" t="n">
        <f aca="false">IF(OR(D73="",F73="sim"),0,D73*IFERROR(INDEX(Parâmetros!$B$22:$B$22,MATCH(E73,Parâmetros!$A$22:$A$22,0)),1)*(1+IF(E73=Parâmetros!$B$9,0,Parâmetros!$B$14)))</f>
        <v>0</v>
      </c>
    </row>
    <row r="74" customFormat="false" ht="15" hidden="false" customHeight="false" outlineLevel="0" collapsed="false">
      <c r="G74" s="8" t="n">
        <f aca="false">IF(OR(D74="",F74="sim"),0,D74*IFERROR(INDEX(Parâmetros!$B$22:$B$22,MATCH(E74,Parâmetros!$A$22:$A$22,0)),1)*(1+IF(E74=Parâmetros!$B$9,0,Parâmetros!$B$14)))</f>
        <v>0</v>
      </c>
    </row>
    <row r="75" customFormat="false" ht="15" hidden="false" customHeight="false" outlineLevel="0" collapsed="false">
      <c r="G75" s="8" t="n">
        <f aca="false">IF(OR(D75="",F75="sim"),0,D75*IFERROR(INDEX(Parâmetros!$B$22:$B$22,MATCH(E75,Parâmetros!$A$22:$A$22,0)),1)*(1+IF(E75=Parâmetros!$B$9,0,Parâmetros!$B$14)))</f>
        <v>0</v>
      </c>
    </row>
    <row r="76" customFormat="false" ht="15" hidden="false" customHeight="false" outlineLevel="0" collapsed="false">
      <c r="G76" s="8" t="n">
        <f aca="false">IF(OR(D76="",F76="sim"),0,D76*IFERROR(INDEX(Parâmetros!$B$22:$B$22,MATCH(E76,Parâmetros!$A$22:$A$22,0)),1)*(1+IF(E76=Parâmetros!$B$9,0,Parâmetros!$B$14)))</f>
        <v>0</v>
      </c>
    </row>
    <row r="77" customFormat="false" ht="15" hidden="false" customHeight="false" outlineLevel="0" collapsed="false">
      <c r="G77" s="8" t="n">
        <f aca="false">IF(OR(D77="",F77="sim"),0,D77*IFERROR(INDEX(Parâmetros!$B$22:$B$22,MATCH(E77,Parâmetros!$A$22:$A$22,0)),1)*(1+IF(E77=Parâmetros!$B$9,0,Parâmetros!$B$14)))</f>
        <v>0</v>
      </c>
    </row>
    <row r="78" customFormat="false" ht="15" hidden="false" customHeight="false" outlineLevel="0" collapsed="false">
      <c r="G78" s="8" t="n">
        <f aca="false">IF(OR(D78="",F78="sim"),0,D78*IFERROR(INDEX(Parâmetros!$B$22:$B$22,MATCH(E78,Parâmetros!$A$22:$A$22,0)),1)*(1+IF(E78=Parâmetros!$B$9,0,Parâmetros!$B$14)))</f>
        <v>0</v>
      </c>
    </row>
    <row r="79" customFormat="false" ht="15" hidden="false" customHeight="false" outlineLevel="0" collapsed="false">
      <c r="G79" s="8" t="n">
        <f aca="false">IF(OR(D79="",F79="sim"),0,D79*IFERROR(INDEX(Parâmetros!$B$22:$B$22,MATCH(E79,Parâmetros!$A$22:$A$22,0)),1)*(1+IF(E79=Parâmetros!$B$9,0,Parâmetros!$B$14)))</f>
        <v>0</v>
      </c>
    </row>
    <row r="80" customFormat="false" ht="15" hidden="false" customHeight="false" outlineLevel="0" collapsed="false">
      <c r="G80" s="8" t="n">
        <f aca="false">IF(OR(D80="",F80="sim"),0,D80*IFERROR(INDEX(Parâmetros!$B$22:$B$22,MATCH(E80,Parâmetros!$A$22:$A$22,0)),1)*(1+IF(E80=Parâmetros!$B$9,0,Parâmetros!$B$14)))</f>
        <v>0</v>
      </c>
    </row>
    <row r="81" customFormat="false" ht="15" hidden="false" customHeight="false" outlineLevel="0" collapsed="false">
      <c r="G81" s="8" t="n">
        <f aca="false">IF(OR(D81="",F81="sim"),0,D81*IFERROR(INDEX(Parâmetros!$B$22:$B$22,MATCH(E81,Parâmetros!$A$22:$A$22,0)),1)*(1+IF(E81=Parâmetros!$B$9,0,Parâmetros!$B$14)))</f>
        <v>0</v>
      </c>
    </row>
    <row r="82" customFormat="false" ht="15" hidden="false" customHeight="false" outlineLevel="0" collapsed="false">
      <c r="G82" s="8" t="n">
        <f aca="false">IF(OR(D82="",F82="sim"),0,D82*IFERROR(INDEX(Parâmetros!$B$22:$B$22,MATCH(E82,Parâmetros!$A$22:$A$22,0)),1)*(1+IF(E82=Parâmetros!$B$9,0,Parâmetros!$B$14)))</f>
        <v>0</v>
      </c>
    </row>
    <row r="83" customFormat="false" ht="15" hidden="false" customHeight="false" outlineLevel="0" collapsed="false">
      <c r="G83" s="8" t="n">
        <f aca="false">IF(OR(D83="",F83="sim"),0,D83*IFERROR(INDEX(Parâmetros!$B$22:$B$22,MATCH(E83,Parâmetros!$A$22:$A$22,0)),1)*(1+IF(E83=Parâmetros!$B$9,0,Parâmetros!$B$14)))</f>
        <v>0</v>
      </c>
    </row>
    <row r="84" customFormat="false" ht="15" hidden="false" customHeight="false" outlineLevel="0" collapsed="false">
      <c r="G84" s="8" t="n">
        <f aca="false">IF(OR(D84="",F84="sim"),0,D84*IFERROR(INDEX(Parâmetros!$B$22:$B$22,MATCH(E84,Parâmetros!$A$22:$A$22,0)),1)*(1+IF(E84=Parâmetros!$B$9,0,Parâmetros!$B$14)))</f>
        <v>0</v>
      </c>
    </row>
    <row r="85" customFormat="false" ht="15" hidden="false" customHeight="false" outlineLevel="0" collapsed="false">
      <c r="G85" s="8" t="n">
        <f aca="false">IF(OR(D85="",F85="sim"),0,D85*IFERROR(INDEX(Parâmetros!$B$22:$B$22,MATCH(E85,Parâmetros!$A$22:$A$22,0)),1)*(1+IF(E85=Parâmetros!$B$9,0,Parâmetros!$B$14)))</f>
        <v>0</v>
      </c>
    </row>
    <row r="86" customFormat="false" ht="15" hidden="false" customHeight="false" outlineLevel="0" collapsed="false">
      <c r="G86" s="8" t="n">
        <f aca="false">IF(OR(D86="",F86="sim"),0,D86*IFERROR(INDEX(Parâmetros!$B$22:$B$22,MATCH(E86,Parâmetros!$A$22:$A$22,0)),1)*(1+IF(E86=Parâmetros!$B$9,0,Parâmetros!$B$14)))</f>
        <v>0</v>
      </c>
    </row>
    <row r="87" customFormat="false" ht="15" hidden="false" customHeight="false" outlineLevel="0" collapsed="false">
      <c r="G87" s="8" t="n">
        <f aca="false">IF(OR(D87="",F87="sim"),0,D87*IFERROR(INDEX(Parâmetros!$B$22:$B$22,MATCH(E87,Parâmetros!$A$22:$A$22,0)),1)*(1+IF(E87=Parâmetros!$B$9,0,Parâmetros!$B$14)))</f>
        <v>0</v>
      </c>
    </row>
    <row r="88" customFormat="false" ht="15" hidden="false" customHeight="false" outlineLevel="0" collapsed="false">
      <c r="G88" s="8" t="n">
        <f aca="false">IF(OR(D88="",F88="sim"),0,D88*IFERROR(INDEX(Parâmetros!$B$22:$B$22,MATCH(E88,Parâmetros!$A$22:$A$22,0)),1)*(1+IF(E88=Parâmetros!$B$9,0,Parâmetros!$B$14)))</f>
        <v>0</v>
      </c>
    </row>
    <row r="89" customFormat="false" ht="15" hidden="false" customHeight="false" outlineLevel="0" collapsed="false">
      <c r="G89" s="8" t="n">
        <f aca="false">IF(OR(D89="",F89="sim"),0,D89*IFERROR(INDEX(Parâmetros!$B$22:$B$22,MATCH(E89,Parâmetros!$A$22:$A$22,0)),1)*(1+IF(E89=Parâmetros!$B$9,0,Parâmetros!$B$14)))</f>
        <v>0</v>
      </c>
    </row>
    <row r="90" customFormat="false" ht="15" hidden="false" customHeight="false" outlineLevel="0" collapsed="false">
      <c r="G90" s="8" t="n">
        <f aca="false">IF(OR(D90="",F90="sim"),0,D90*IFERROR(INDEX(Parâmetros!$B$22:$B$22,MATCH(E90,Parâmetros!$A$22:$A$22,0)),1)*(1+IF(E90=Parâmetros!$B$9,0,Parâmetros!$B$14)))</f>
        <v>0</v>
      </c>
    </row>
    <row r="91" customFormat="false" ht="15" hidden="false" customHeight="false" outlineLevel="0" collapsed="false">
      <c r="G91" s="8" t="n">
        <f aca="false">IF(OR(D91="",F91="sim"),0,D91*IFERROR(INDEX(Parâmetros!$B$22:$B$22,MATCH(E91,Parâmetros!$A$22:$A$22,0)),1)*(1+IF(E91=Parâmetros!$B$9,0,Parâmetros!$B$14)))</f>
        <v>0</v>
      </c>
    </row>
    <row r="92" customFormat="false" ht="15" hidden="false" customHeight="false" outlineLevel="0" collapsed="false">
      <c r="G92" s="8" t="n">
        <f aca="false">IF(OR(D92="",F92="sim"),0,D92*IFERROR(INDEX(Parâmetros!$B$22:$B$22,MATCH(E92,Parâmetros!$A$22:$A$22,0)),1)*(1+IF(E92=Parâmetros!$B$9,0,Parâmetros!$B$14)))</f>
        <v>0</v>
      </c>
    </row>
    <row r="93" customFormat="false" ht="15" hidden="false" customHeight="false" outlineLevel="0" collapsed="false">
      <c r="G93" s="8" t="n">
        <f aca="false">IF(OR(D93="",F93="sim"),0,D93*IFERROR(INDEX(Parâmetros!$B$22:$B$22,MATCH(E93,Parâmetros!$A$22:$A$22,0)),1)*(1+IF(E93=Parâmetros!$B$9,0,Parâmetros!$B$14)))</f>
        <v>0</v>
      </c>
    </row>
    <row r="94" customFormat="false" ht="15" hidden="false" customHeight="false" outlineLevel="0" collapsed="false">
      <c r="G94" s="8" t="n">
        <f aca="false">IF(OR(D94="",F94="sim"),0,D94*IFERROR(INDEX(Parâmetros!$B$22:$B$22,MATCH(E94,Parâmetros!$A$22:$A$22,0)),1)*(1+IF(E94=Parâmetros!$B$9,0,Parâmetros!$B$14)))</f>
        <v>0</v>
      </c>
    </row>
    <row r="95" customFormat="false" ht="15" hidden="false" customHeight="false" outlineLevel="0" collapsed="false">
      <c r="G95" s="8" t="n">
        <f aca="false">IF(OR(D95="",F95="sim"),0,D95*IFERROR(INDEX(Parâmetros!$B$22:$B$22,MATCH(E95,Parâmetros!$A$22:$A$22,0)),1)*(1+IF(E95=Parâmetros!$B$9,0,Parâmetros!$B$14)))</f>
        <v>0</v>
      </c>
    </row>
    <row r="96" customFormat="false" ht="15" hidden="false" customHeight="false" outlineLevel="0" collapsed="false">
      <c r="G96" s="8" t="n">
        <f aca="false">IF(OR(D96="",F96="sim"),0,D96*IFERROR(INDEX(Parâmetros!$B$22:$B$22,MATCH(E96,Parâmetros!$A$22:$A$22,0)),1)*(1+IF(E96=Parâmetros!$B$9,0,Parâmetros!$B$14)))</f>
        <v>0</v>
      </c>
    </row>
    <row r="97" customFormat="false" ht="15" hidden="false" customHeight="false" outlineLevel="0" collapsed="false">
      <c r="G97" s="8" t="n">
        <f aca="false">IF(OR(D97="",F97="sim"),0,D97*IFERROR(INDEX(Parâmetros!$B$22:$B$22,MATCH(E97,Parâmetros!$A$22:$A$22,0)),1)*(1+IF(E97=Parâmetros!$B$9,0,Parâmetros!$B$14)))</f>
        <v>0</v>
      </c>
    </row>
    <row r="98" customFormat="false" ht="15" hidden="false" customHeight="false" outlineLevel="0" collapsed="false">
      <c r="G98" s="8" t="n">
        <f aca="false">IF(OR(D98="",F98="sim"),0,D98*IFERROR(INDEX(Parâmetros!$B$22:$B$22,MATCH(E98,Parâmetros!$A$22:$A$22,0)),1)*(1+IF(E98=Parâmetros!$B$9,0,Parâmetros!$B$14)))</f>
        <v>0</v>
      </c>
    </row>
    <row r="99" customFormat="false" ht="15" hidden="false" customHeight="false" outlineLevel="0" collapsed="false">
      <c r="G99" s="8" t="n">
        <f aca="false">IF(OR(D99="",F99="sim"),0,D99*IFERROR(INDEX(Parâmetros!$B$22:$B$22,MATCH(E99,Parâmetros!$A$22:$A$22,0)),1)*(1+IF(E99=Parâmetros!$B$9,0,Parâmetros!$B$14)))</f>
        <v>0</v>
      </c>
    </row>
    <row r="100" customFormat="false" ht="15" hidden="false" customHeight="false" outlineLevel="0" collapsed="false">
      <c r="G100" s="8" t="n">
        <f aca="false">IF(OR(D100="",F100="sim"),0,D100*IFERROR(INDEX(Parâmetros!$B$22:$B$22,MATCH(E100,Parâmetros!$A$22:$A$22,0)),1)*(1+IF(E100=Parâmetros!$B$9,0,Parâmetros!$B$14)))</f>
        <v>0</v>
      </c>
    </row>
    <row r="101" customFormat="false" ht="15" hidden="false" customHeight="false" outlineLevel="0" collapsed="false">
      <c r="G101" s="8" t="n">
        <f aca="false">IF(OR(D101="",F101="sim"),0,D101*IFERROR(INDEX(Parâmetros!$B$22:$B$22,MATCH(E101,Parâmetros!$A$22:$A$22,0)),1)*(1+IF(E101=Parâmetros!$B$9,0,Parâmetros!$B$14)))</f>
        <v>0</v>
      </c>
    </row>
    <row r="102" customFormat="false" ht="15" hidden="false" customHeight="false" outlineLevel="0" collapsed="false">
      <c r="G102" s="8" t="n">
        <f aca="false">IF(OR(D102="",F102="sim"),0,D102*IFERROR(INDEX(Parâmetros!$B$22:$B$22,MATCH(E102,Parâmetros!$A$22:$A$22,0)),1)*(1+IF(E102=Parâmetros!$B$9,0,Parâmetros!$B$14)))</f>
        <v>0</v>
      </c>
    </row>
    <row r="103" customFormat="false" ht="15" hidden="false" customHeight="false" outlineLevel="0" collapsed="false">
      <c r="G103" s="8" t="n">
        <f aca="false">IF(OR(D103="",F103="sim"),0,D103*IFERROR(INDEX(Parâmetros!$B$22:$B$22,MATCH(E103,Parâmetros!$A$22:$A$22,0)),1)*(1+IF(E103=Parâmetros!$B$9,0,Parâmetros!$B$14)))</f>
        <v>0</v>
      </c>
    </row>
    <row r="104" customFormat="false" ht="15" hidden="false" customHeight="false" outlineLevel="0" collapsed="false">
      <c r="G104" s="8" t="n">
        <f aca="false">IF(OR(D104="",F104="sim"),0,D104*IFERROR(INDEX(Parâmetros!$B$22:$B$22,MATCH(E104,Parâmetros!$A$22:$A$22,0)),1)*(1+IF(E104=Parâmetros!$B$9,0,Parâmetros!$B$14)))</f>
        <v>0</v>
      </c>
    </row>
    <row r="105" customFormat="false" ht="15" hidden="false" customHeight="false" outlineLevel="0" collapsed="false">
      <c r="G105" s="8" t="n">
        <f aca="false">IF(OR(D105="",F105="sim"),0,D105*IFERROR(INDEX(Parâmetros!$B$22:$B$22,MATCH(E105,Parâmetros!$A$22:$A$22,0)),1)*(1+IF(E105=Parâmetros!$B$9,0,Parâmetros!$B$14)))</f>
        <v>0</v>
      </c>
    </row>
    <row r="106" customFormat="false" ht="15" hidden="false" customHeight="false" outlineLevel="0" collapsed="false">
      <c r="G106" s="8" t="n">
        <f aca="false">IF(OR(D106="",F106="sim"),0,D106*IFERROR(INDEX(Parâmetros!$B$22:$B$22,MATCH(E106,Parâmetros!$A$22:$A$22,0)),1)*(1+IF(E106=Parâmetros!$B$9,0,Parâmetros!$B$14)))</f>
        <v>0</v>
      </c>
    </row>
    <row r="107" customFormat="false" ht="15" hidden="false" customHeight="false" outlineLevel="0" collapsed="false">
      <c r="G107" s="8" t="n">
        <f aca="false">IF(OR(D107="",F107="sim"),0,D107*IFERROR(INDEX(Parâmetros!$B$22:$B$22,MATCH(E107,Parâmetros!$A$22:$A$22,0)),1)*(1+IF(E107=Parâmetros!$B$9,0,Parâmetros!$B$14)))</f>
        <v>0</v>
      </c>
    </row>
    <row r="108" customFormat="false" ht="15" hidden="false" customHeight="false" outlineLevel="0" collapsed="false">
      <c r="G108" s="8" t="n">
        <f aca="false">IF(OR(D108="",F108="sim"),0,D108*IFERROR(INDEX(Parâmetros!$B$22:$B$22,MATCH(E108,Parâmetros!$A$22:$A$22,0)),1)*(1+IF(E108=Parâmetros!$B$9,0,Parâmetros!$B$14)))</f>
        <v>0</v>
      </c>
    </row>
    <row r="109" customFormat="false" ht="15" hidden="false" customHeight="false" outlineLevel="0" collapsed="false">
      <c r="G109" s="8" t="n">
        <f aca="false">IF(OR(D109="",F109="sim"),0,D109*IFERROR(INDEX(Parâmetros!$B$22:$B$22,MATCH(E109,Parâmetros!$A$22:$A$22,0)),1)*(1+IF(E109=Parâmetros!$B$9,0,Parâmetros!$B$14)))</f>
        <v>0</v>
      </c>
    </row>
    <row r="110" customFormat="false" ht="15" hidden="false" customHeight="false" outlineLevel="0" collapsed="false">
      <c r="G110" s="8" t="n">
        <f aca="false">IF(OR(D110="",F110="sim"),0,D110*IFERROR(INDEX(Parâmetros!$B$22:$B$22,MATCH(E110,Parâmetros!$A$22:$A$22,0)),1)*(1+IF(E110=Parâmetros!$B$9,0,Parâmetros!$B$14)))</f>
        <v>0</v>
      </c>
    </row>
    <row r="111" customFormat="false" ht="15" hidden="false" customHeight="false" outlineLevel="0" collapsed="false">
      <c r="G111" s="8" t="n">
        <f aca="false">IF(OR(D111="",F111="sim"),0,D111*IFERROR(INDEX(Parâmetros!$B$22:$B$22,MATCH(E111,Parâmetros!$A$22:$A$22,0)),1)*(1+IF(E111=Parâmetros!$B$9,0,Parâmetros!$B$14)))</f>
        <v>0</v>
      </c>
    </row>
    <row r="112" customFormat="false" ht="15" hidden="false" customHeight="false" outlineLevel="0" collapsed="false">
      <c r="G112" s="8" t="n">
        <f aca="false">IF(OR(D112="",F112="sim"),0,D112*IFERROR(INDEX(Parâmetros!$B$22:$B$22,MATCH(E112,Parâmetros!$A$22:$A$22,0)),1)*(1+IF(E112=Parâmetros!$B$9,0,Parâmetros!$B$14)))</f>
        <v>0</v>
      </c>
    </row>
    <row r="113" customFormat="false" ht="15" hidden="false" customHeight="false" outlineLevel="0" collapsed="false">
      <c r="G113" s="8" t="n">
        <f aca="false">IF(OR(D113="",F113="sim"),0,D113*IFERROR(INDEX(Parâmetros!$B$22:$B$22,MATCH(E113,Parâmetros!$A$22:$A$22,0)),1)*(1+IF(E113=Parâmetros!$B$9,0,Parâmetros!$B$14)))</f>
        <v>0</v>
      </c>
    </row>
    <row r="114" customFormat="false" ht="15" hidden="false" customHeight="false" outlineLevel="0" collapsed="false">
      <c r="G114" s="8" t="n">
        <f aca="false">IF(OR(D114="",F114="sim"),0,D114*IFERROR(INDEX(Parâmetros!$B$22:$B$22,MATCH(E114,Parâmetros!$A$22:$A$22,0)),1)*(1+IF(E114=Parâmetros!$B$9,0,Parâmetros!$B$14)))</f>
        <v>0</v>
      </c>
    </row>
    <row r="115" customFormat="false" ht="15" hidden="false" customHeight="false" outlineLevel="0" collapsed="false">
      <c r="G115" s="8" t="n">
        <f aca="false">IF(OR(D115="",F115="sim"),0,D115*IFERROR(INDEX(Parâmetros!$B$22:$B$22,MATCH(E115,Parâmetros!$A$22:$A$22,0)),1)*(1+IF(E115=Parâmetros!$B$9,0,Parâmetros!$B$14)))</f>
        <v>0</v>
      </c>
    </row>
    <row r="116" customFormat="false" ht="15" hidden="false" customHeight="false" outlineLevel="0" collapsed="false">
      <c r="G116" s="8" t="n">
        <f aca="false">IF(OR(D116="",F116="sim"),0,D116*IFERROR(INDEX(Parâmetros!$B$22:$B$22,MATCH(E116,Parâmetros!$A$22:$A$22,0)),1)*(1+IF(E116=Parâmetros!$B$9,0,Parâmetros!$B$14)))</f>
        <v>0</v>
      </c>
    </row>
    <row r="117" customFormat="false" ht="15" hidden="false" customHeight="false" outlineLevel="0" collapsed="false">
      <c r="G117" s="8" t="n">
        <f aca="false">IF(OR(D117="",F117="sim"),0,D117*IFERROR(INDEX(Parâmetros!$B$22:$B$22,MATCH(E117,Parâmetros!$A$22:$A$22,0)),1)*(1+IF(E117=Parâmetros!$B$9,0,Parâmetros!$B$14)))</f>
        <v>0</v>
      </c>
    </row>
    <row r="118" customFormat="false" ht="15" hidden="false" customHeight="false" outlineLevel="0" collapsed="false">
      <c r="G118" s="8" t="n">
        <f aca="false">IF(OR(D118="",F118="sim"),0,D118*IFERROR(INDEX(Parâmetros!$B$22:$B$22,MATCH(E118,Parâmetros!$A$22:$A$22,0)),1)*(1+IF(E118=Parâmetros!$B$9,0,Parâmetros!$B$14)))</f>
        <v>0</v>
      </c>
    </row>
    <row r="119" customFormat="false" ht="15" hidden="false" customHeight="false" outlineLevel="0" collapsed="false">
      <c r="G119" s="8" t="n">
        <f aca="false">IF(OR(D119="",F119="sim"),0,D119*IFERROR(INDEX(Parâmetros!$B$22:$B$22,MATCH(E119,Parâmetros!$A$22:$A$22,0)),1)*(1+IF(E119=Parâmetros!$B$9,0,Parâmetros!$B$14)))</f>
        <v>0</v>
      </c>
    </row>
    <row r="120" customFormat="false" ht="15" hidden="false" customHeight="false" outlineLevel="0" collapsed="false">
      <c r="G120" s="8" t="n">
        <f aca="false">IF(OR(D120="",F120="sim"),0,D120*IFERROR(INDEX(Parâmetros!$B$22:$B$22,MATCH(E120,Parâmetros!$A$22:$A$22,0)),1)*(1+IF(E120=Parâmetros!$B$9,0,Parâmetros!$B$14)))</f>
        <v>0</v>
      </c>
    </row>
    <row r="121" customFormat="false" ht="15" hidden="false" customHeight="false" outlineLevel="0" collapsed="false">
      <c r="G121" s="8" t="n">
        <f aca="false">IF(OR(D121="",F121="sim"),0,D121*IFERROR(INDEX(Parâmetros!$B$22:$B$22,MATCH(E121,Parâmetros!$A$22:$A$22,0)),1)*(1+IF(E121=Parâmetros!$B$9,0,Parâmetros!$B$14)))</f>
        <v>0</v>
      </c>
    </row>
    <row r="122" customFormat="false" ht="15" hidden="false" customHeight="false" outlineLevel="0" collapsed="false">
      <c r="G122" s="8" t="n">
        <f aca="false">IF(OR(D122="",F122="sim"),0,D122*IFERROR(INDEX(Parâmetros!$B$22:$B$22,MATCH(E122,Parâmetros!$A$22:$A$22,0)),1)*(1+IF(E122=Parâmetros!$B$9,0,Parâmetros!$B$14)))</f>
        <v>0</v>
      </c>
    </row>
    <row r="123" customFormat="false" ht="15" hidden="false" customHeight="false" outlineLevel="0" collapsed="false">
      <c r="G123" s="8" t="n">
        <f aca="false">IF(OR(D123="",F123="sim"),0,D123*IFERROR(INDEX(Parâmetros!$B$22:$B$22,MATCH(E123,Parâmetros!$A$22:$A$22,0)),1)*(1+IF(E123=Parâmetros!$B$9,0,Parâmetros!$B$14)))</f>
        <v>0</v>
      </c>
    </row>
    <row r="124" customFormat="false" ht="15" hidden="false" customHeight="false" outlineLevel="0" collapsed="false">
      <c r="G124" s="8" t="n">
        <f aca="false">IF(OR(D124="",F124="sim"),0,D124*IFERROR(INDEX(Parâmetros!$B$22:$B$22,MATCH(E124,Parâmetros!$A$22:$A$22,0)),1)*(1+IF(E124=Parâmetros!$B$9,0,Parâmetros!$B$14)))</f>
        <v>0</v>
      </c>
    </row>
    <row r="125" customFormat="false" ht="15" hidden="false" customHeight="false" outlineLevel="0" collapsed="false">
      <c r="G125" s="8" t="n">
        <f aca="false">IF(OR(D125="",F125="sim"),0,D125*IFERROR(INDEX(Parâmetros!$B$22:$B$22,MATCH(E125,Parâmetros!$A$22:$A$22,0)),1)*(1+IF(E125=Parâmetros!$B$9,0,Parâmetros!$B$14)))</f>
        <v>0</v>
      </c>
    </row>
    <row r="126" customFormat="false" ht="15" hidden="false" customHeight="false" outlineLevel="0" collapsed="false">
      <c r="G126" s="8" t="n">
        <f aca="false">IF(OR(D126="",F126="sim"),0,D126*IFERROR(INDEX(Parâmetros!$B$22:$B$22,MATCH(E126,Parâmetros!$A$22:$A$22,0)),1)*(1+IF(E126=Parâmetros!$B$9,0,Parâmetros!$B$14)))</f>
        <v>0</v>
      </c>
    </row>
    <row r="127" customFormat="false" ht="15" hidden="false" customHeight="false" outlineLevel="0" collapsed="false">
      <c r="G127" s="8" t="n">
        <f aca="false">IF(OR(D127="",F127="sim"),0,D127*IFERROR(INDEX(Parâmetros!$B$22:$B$22,MATCH(E127,Parâmetros!$A$22:$A$22,0)),1)*(1+IF(E127=Parâmetros!$B$9,0,Parâmetros!$B$14)))</f>
        <v>0</v>
      </c>
    </row>
    <row r="128" customFormat="false" ht="15" hidden="false" customHeight="false" outlineLevel="0" collapsed="false">
      <c r="G128" s="8" t="n">
        <f aca="false">IF(OR(D128="",F128="sim"),0,D128*IFERROR(INDEX(Parâmetros!$B$22:$B$22,MATCH(E128,Parâmetros!$A$22:$A$22,0)),1)*(1+IF(E128=Parâmetros!$B$9,0,Parâmetros!$B$14)))</f>
        <v>0</v>
      </c>
    </row>
    <row r="129" customFormat="false" ht="15" hidden="false" customHeight="false" outlineLevel="0" collapsed="false">
      <c r="G129" s="8" t="n">
        <f aca="false">IF(OR(D129="",F129="sim"),0,D129*IFERROR(INDEX(Parâmetros!$B$22:$B$22,MATCH(E129,Parâmetros!$A$22:$A$22,0)),1)*(1+IF(E129=Parâmetros!$B$9,0,Parâmetros!$B$14)))</f>
        <v>0</v>
      </c>
    </row>
    <row r="130" customFormat="false" ht="15" hidden="false" customHeight="false" outlineLevel="0" collapsed="false">
      <c r="G130" s="8" t="n">
        <f aca="false">IF(OR(D130="",F130="sim"),0,D130*IFERROR(INDEX(Parâmetros!$B$22:$B$22,MATCH(E130,Parâmetros!$A$22:$A$22,0)),1)*(1+IF(E130=Parâmetros!$B$9,0,Parâmetros!$B$14)))</f>
        <v>0</v>
      </c>
    </row>
    <row r="131" customFormat="false" ht="15" hidden="false" customHeight="false" outlineLevel="0" collapsed="false">
      <c r="G131" s="8" t="n">
        <f aca="false">IF(OR(D131="",F131="sim"),0,D131*IFERROR(INDEX(Parâmetros!$B$22:$B$22,MATCH(E131,Parâmetros!$A$22:$A$22,0)),1)*(1+IF(E131=Parâmetros!$B$9,0,Parâmetros!$B$14)))</f>
        <v>0</v>
      </c>
    </row>
    <row r="132" customFormat="false" ht="15" hidden="false" customHeight="false" outlineLevel="0" collapsed="false">
      <c r="G132" s="8" t="n">
        <f aca="false">IF(OR(D132="",F132="sim"),0,D132*IFERROR(INDEX(Parâmetros!$B$22:$B$22,MATCH(E132,Parâmetros!$A$22:$A$22,0)),1)*(1+IF(E132=Parâmetros!$B$9,0,Parâmetros!$B$14)))</f>
        <v>0</v>
      </c>
    </row>
    <row r="133" customFormat="false" ht="15" hidden="false" customHeight="false" outlineLevel="0" collapsed="false">
      <c r="G133" s="8" t="n">
        <f aca="false">IF(OR(D133="",F133="sim"),0,D133*IFERROR(INDEX(Parâmetros!$B$22:$B$22,MATCH(E133,Parâmetros!$A$22:$A$22,0)),1)*(1+IF(E133=Parâmetros!$B$9,0,Parâmetros!$B$14)))</f>
        <v>0</v>
      </c>
    </row>
    <row r="134" customFormat="false" ht="15" hidden="false" customHeight="false" outlineLevel="0" collapsed="false">
      <c r="G134" s="8" t="n">
        <f aca="false">IF(OR(D134="",F134="sim"),0,D134*IFERROR(INDEX(Parâmetros!$B$22:$B$22,MATCH(E134,Parâmetros!$A$22:$A$22,0)),1)*(1+IF(E134=Parâmetros!$B$9,0,Parâmetros!$B$14)))</f>
        <v>0</v>
      </c>
    </row>
    <row r="135" customFormat="false" ht="15" hidden="false" customHeight="false" outlineLevel="0" collapsed="false">
      <c r="G135" s="8" t="n">
        <f aca="false">IF(OR(D135="",F135="sim"),0,D135*IFERROR(INDEX(Parâmetros!$B$22:$B$22,MATCH(E135,Parâmetros!$A$22:$A$22,0)),1)*(1+IF(E135=Parâmetros!$B$9,0,Parâmetros!$B$14)))</f>
        <v>0</v>
      </c>
    </row>
    <row r="136" customFormat="false" ht="15" hidden="false" customHeight="false" outlineLevel="0" collapsed="false">
      <c r="G136" s="8" t="n">
        <f aca="false">IF(OR(D136="",F136="sim"),0,D136*IFERROR(INDEX(Parâmetros!$B$22:$B$22,MATCH(E136,Parâmetros!$A$22:$A$22,0)),1)*(1+IF(E136=Parâmetros!$B$9,0,Parâmetros!$B$14)))</f>
        <v>0</v>
      </c>
    </row>
    <row r="137" customFormat="false" ht="15" hidden="false" customHeight="false" outlineLevel="0" collapsed="false">
      <c r="G137" s="8" t="n">
        <f aca="false">IF(OR(D137="",F137="sim"),0,D137*IFERROR(INDEX(Parâmetros!$B$22:$B$22,MATCH(E137,Parâmetros!$A$22:$A$22,0)),1)*(1+IF(E137=Parâmetros!$B$9,0,Parâmetros!$B$14)))</f>
        <v>0</v>
      </c>
    </row>
    <row r="138" customFormat="false" ht="15" hidden="false" customHeight="false" outlineLevel="0" collapsed="false">
      <c r="G138" s="8" t="n">
        <f aca="false">IF(OR(D138="",F138="sim"),0,D138*IFERROR(INDEX(Parâmetros!$B$22:$B$22,MATCH(E138,Parâmetros!$A$22:$A$22,0)),1)*(1+IF(E138=Parâmetros!$B$9,0,Parâmetros!$B$14)))</f>
        <v>0</v>
      </c>
    </row>
    <row r="139" customFormat="false" ht="15" hidden="false" customHeight="false" outlineLevel="0" collapsed="false">
      <c r="G139" s="8" t="n">
        <f aca="false">IF(OR(D139="",F139="sim"),0,D139*IFERROR(INDEX(Parâmetros!$B$22:$B$22,MATCH(E139,Parâmetros!$A$22:$A$22,0)),1)*(1+IF(E139=Parâmetros!$B$9,0,Parâmetros!$B$14)))</f>
        <v>0</v>
      </c>
    </row>
    <row r="140" customFormat="false" ht="15" hidden="false" customHeight="false" outlineLevel="0" collapsed="false">
      <c r="G140" s="8" t="n">
        <f aca="false">IF(OR(D140="",F140="sim"),0,D140*IFERROR(INDEX(Parâmetros!$B$22:$B$22,MATCH(E140,Parâmetros!$A$22:$A$22,0)),1)*(1+IF(E140=Parâmetros!$B$9,0,Parâmetros!$B$14)))</f>
        <v>0</v>
      </c>
    </row>
    <row r="141" customFormat="false" ht="15" hidden="false" customHeight="false" outlineLevel="0" collapsed="false">
      <c r="G141" s="8" t="n">
        <f aca="false">IF(OR(D141="",F141="sim"),0,D141*IFERROR(INDEX(Parâmetros!$B$22:$B$22,MATCH(E141,Parâmetros!$A$22:$A$22,0)),1)*(1+IF(E141=Parâmetros!$B$9,0,Parâmetros!$B$14)))</f>
        <v>0</v>
      </c>
    </row>
    <row r="142" customFormat="false" ht="15" hidden="false" customHeight="false" outlineLevel="0" collapsed="false">
      <c r="G142" s="8" t="n">
        <f aca="false">IF(OR(D142="",F142="sim"),0,D142*IFERROR(INDEX(Parâmetros!$B$22:$B$22,MATCH(E142,Parâmetros!$A$22:$A$22,0)),1)*(1+IF(E142=Parâmetros!$B$9,0,Parâmetros!$B$14)))</f>
        <v>0</v>
      </c>
    </row>
    <row r="143" customFormat="false" ht="15" hidden="false" customHeight="false" outlineLevel="0" collapsed="false">
      <c r="G143" s="8" t="n">
        <f aca="false">IF(OR(D143="",F143="sim"),0,D143*IFERROR(INDEX(Parâmetros!$B$22:$B$22,MATCH(E143,Parâmetros!$A$22:$A$22,0)),1)*(1+IF(E143=Parâmetros!$B$9,0,Parâmetros!$B$14)))</f>
        <v>0</v>
      </c>
    </row>
    <row r="144" customFormat="false" ht="15" hidden="false" customHeight="false" outlineLevel="0" collapsed="false">
      <c r="G144" s="8" t="n">
        <f aca="false">IF(OR(D144="",F144="sim"),0,D144*IFERROR(INDEX(Parâmetros!$B$22:$B$22,MATCH(E144,Parâmetros!$A$22:$A$22,0)),1)*(1+IF(E144=Parâmetros!$B$9,0,Parâmetros!$B$14)))</f>
        <v>0</v>
      </c>
    </row>
    <row r="145" customFormat="false" ht="15" hidden="false" customHeight="false" outlineLevel="0" collapsed="false">
      <c r="G145" s="8" t="n">
        <f aca="false">IF(OR(D145="",F145="sim"),0,D145*IFERROR(INDEX(Parâmetros!$B$22:$B$22,MATCH(E145,Parâmetros!$A$22:$A$22,0)),1)*(1+IF(E145=Parâmetros!$B$9,0,Parâmetros!$B$14)))</f>
        <v>0</v>
      </c>
    </row>
    <row r="146" customFormat="false" ht="15" hidden="false" customHeight="false" outlineLevel="0" collapsed="false">
      <c r="G146" s="8" t="n">
        <f aca="false">IF(OR(D146="",F146="sim"),0,D146*IFERROR(INDEX(Parâmetros!$B$22:$B$22,MATCH(E146,Parâmetros!$A$22:$A$22,0)),1)*(1+IF(E146=Parâmetros!$B$9,0,Parâmetros!$B$14)))</f>
        <v>0</v>
      </c>
    </row>
    <row r="147" customFormat="false" ht="15" hidden="false" customHeight="false" outlineLevel="0" collapsed="false">
      <c r="G147" s="8" t="n">
        <f aca="false">IF(OR(D147="",F147="sim"),0,D147*IFERROR(INDEX(Parâmetros!$B$22:$B$22,MATCH(E147,Parâmetros!$A$22:$A$22,0)),1)*(1+IF(E147=Parâmetros!$B$9,0,Parâmetros!$B$14)))</f>
        <v>0</v>
      </c>
    </row>
    <row r="148" customFormat="false" ht="15" hidden="false" customHeight="false" outlineLevel="0" collapsed="false">
      <c r="G148" s="8" t="n">
        <f aca="false">IF(OR(D148="",F148="sim"),0,D148*IFERROR(INDEX(Parâmetros!$B$22:$B$22,MATCH(E148,Parâmetros!$A$22:$A$22,0)),1)*(1+IF(E148=Parâmetros!$B$9,0,Parâmetros!$B$14)))</f>
        <v>0</v>
      </c>
    </row>
    <row r="149" customFormat="false" ht="15" hidden="false" customHeight="false" outlineLevel="0" collapsed="false">
      <c r="G149" s="8" t="n">
        <f aca="false">IF(OR(D149="",F149="sim"),0,D149*IFERROR(INDEX(Parâmetros!$B$22:$B$22,MATCH(E149,Parâmetros!$A$22:$A$22,0)),1)*(1+IF(E149=Parâmetros!$B$9,0,Parâmetros!$B$14)))</f>
        <v>0</v>
      </c>
    </row>
    <row r="150" customFormat="false" ht="15" hidden="false" customHeight="false" outlineLevel="0" collapsed="false">
      <c r="G150" s="8" t="n">
        <f aca="false">IF(OR(D150="",F150="sim"),0,D150*IFERROR(INDEX(Parâmetros!$B$22:$B$22,MATCH(E150,Parâmetros!$A$22:$A$22,0)),1)*(1+IF(E150=Parâmetros!$B$9,0,Parâmetros!$B$14)))</f>
        <v>0</v>
      </c>
    </row>
    <row r="151" customFormat="false" ht="15" hidden="false" customHeight="false" outlineLevel="0" collapsed="false">
      <c r="G151" s="8" t="n">
        <f aca="false">IF(OR(D151="",F151="sim"),0,D151*IFERROR(INDEX(Parâmetros!$B$22:$B$22,MATCH(E151,Parâmetros!$A$22:$A$22,0)),1)*(1+IF(E151=Parâmetros!$B$9,0,Parâmetros!$B$14)))</f>
        <v>0</v>
      </c>
    </row>
    <row r="152" customFormat="false" ht="15" hidden="false" customHeight="false" outlineLevel="0" collapsed="false">
      <c r="G152" s="8" t="n">
        <f aca="false">IF(OR(D152="",F152="sim"),0,D152*IFERROR(INDEX(Parâmetros!$B$22:$B$22,MATCH(E152,Parâmetros!$A$22:$A$22,0)),1)*(1+IF(E152=Parâmetros!$B$9,0,Parâmetros!$B$14)))</f>
        <v>0</v>
      </c>
    </row>
    <row r="153" customFormat="false" ht="15" hidden="false" customHeight="false" outlineLevel="0" collapsed="false">
      <c r="G153" s="8" t="n">
        <f aca="false">IF(OR(D153="",F153="sim"),0,D153*IFERROR(INDEX(Parâmetros!$B$22:$B$22,MATCH(E153,Parâmetros!$A$22:$A$22,0)),1)*(1+IF(E153=Parâmetros!$B$9,0,Parâmetros!$B$14)))</f>
        <v>0</v>
      </c>
    </row>
    <row r="154" customFormat="false" ht="15" hidden="false" customHeight="false" outlineLevel="0" collapsed="false">
      <c r="G154" s="8" t="n">
        <f aca="false">IF(OR(D154="",F154="sim"),0,D154*IFERROR(INDEX(Parâmetros!$B$22:$B$22,MATCH(E154,Parâmetros!$A$22:$A$22,0)),1)*(1+IF(E154=Parâmetros!$B$9,0,Parâmetros!$B$14)))</f>
        <v>0</v>
      </c>
    </row>
    <row r="155" customFormat="false" ht="15" hidden="false" customHeight="false" outlineLevel="0" collapsed="false">
      <c r="G155" s="8" t="n">
        <f aca="false">IF(OR(D155="",F155="sim"),0,D155*IFERROR(INDEX(Parâmetros!$B$22:$B$22,MATCH(E155,Parâmetros!$A$22:$A$22,0)),1)*(1+IF(E155=Parâmetros!$B$9,0,Parâmetros!$B$14)))</f>
        <v>0</v>
      </c>
    </row>
    <row r="156" customFormat="false" ht="15" hidden="false" customHeight="false" outlineLevel="0" collapsed="false">
      <c r="G156" s="8" t="n">
        <f aca="false">IF(OR(D156="",F156="sim"),0,D156*IFERROR(INDEX(Parâmetros!$B$22:$B$22,MATCH(E156,Parâmetros!$A$22:$A$22,0)),1)*(1+IF(E156=Parâmetros!$B$9,0,Parâmetros!$B$14)))</f>
        <v>0</v>
      </c>
    </row>
    <row r="157" customFormat="false" ht="15" hidden="false" customHeight="false" outlineLevel="0" collapsed="false">
      <c r="G157" s="8" t="n">
        <f aca="false">IF(OR(D157="",F157="sim"),0,D157*IFERROR(INDEX(Parâmetros!$B$22:$B$22,MATCH(E157,Parâmetros!$A$22:$A$22,0)),1)*(1+IF(E157=Parâmetros!$B$9,0,Parâmetros!$B$14)))</f>
        <v>0</v>
      </c>
    </row>
    <row r="158" customFormat="false" ht="15" hidden="false" customHeight="false" outlineLevel="0" collapsed="false">
      <c r="G158" s="8" t="n">
        <f aca="false">IF(OR(D158="",F158="sim"),0,D158*IFERROR(INDEX(Parâmetros!$B$22:$B$22,MATCH(E158,Parâmetros!$A$22:$A$22,0)),1)*(1+IF(E158=Parâmetros!$B$9,0,Parâmetros!$B$14)))</f>
        <v>0</v>
      </c>
    </row>
    <row r="159" customFormat="false" ht="15" hidden="false" customHeight="false" outlineLevel="0" collapsed="false">
      <c r="G159" s="8" t="n">
        <f aca="false">IF(OR(D159="",F159="sim"),0,D159*IFERROR(INDEX(Parâmetros!$B$22:$B$22,MATCH(E159,Parâmetros!$A$22:$A$22,0)),1)*(1+IF(E159=Parâmetros!$B$9,0,Parâmetros!$B$14)))</f>
        <v>0</v>
      </c>
    </row>
    <row r="160" customFormat="false" ht="15" hidden="false" customHeight="false" outlineLevel="0" collapsed="false">
      <c r="G160" s="8" t="n">
        <f aca="false">IF(OR(D160="",F160="sim"),0,D160*IFERROR(INDEX(Parâmetros!$B$22:$B$22,MATCH(E160,Parâmetros!$A$22:$A$22,0)),1)*(1+IF(E160=Parâmetros!$B$9,0,Parâmetros!$B$14)))</f>
        <v>0</v>
      </c>
    </row>
    <row r="161" customFormat="false" ht="15" hidden="false" customHeight="false" outlineLevel="0" collapsed="false">
      <c r="G161" s="8" t="n">
        <f aca="false">IF(OR(D161="",F161="sim"),0,D161*IFERROR(INDEX(Parâmetros!$B$22:$B$22,MATCH(E161,Parâmetros!$A$22:$A$22,0)),1)*(1+IF(E161=Parâmetros!$B$9,0,Parâmetros!$B$14)))</f>
        <v>0</v>
      </c>
    </row>
    <row r="162" customFormat="false" ht="15" hidden="false" customHeight="false" outlineLevel="0" collapsed="false">
      <c r="G162" s="8" t="n">
        <f aca="false">IF(OR(D162="",F162="sim"),0,D162*IFERROR(INDEX(Parâmetros!$B$22:$B$22,MATCH(E162,Parâmetros!$A$22:$A$22,0)),1)*(1+IF(E162=Parâmetros!$B$9,0,Parâmetros!$B$14)))</f>
        <v>0</v>
      </c>
    </row>
    <row r="163" customFormat="false" ht="15" hidden="false" customHeight="false" outlineLevel="0" collapsed="false">
      <c r="G163" s="8" t="n">
        <f aca="false">IF(OR(D163="",F163="sim"),0,D163*IFERROR(INDEX(Parâmetros!$B$22:$B$22,MATCH(E163,Parâmetros!$A$22:$A$22,0)),1)*(1+IF(E163=Parâmetros!$B$9,0,Parâmetros!$B$14)))</f>
        <v>0</v>
      </c>
    </row>
    <row r="164" customFormat="false" ht="15" hidden="false" customHeight="false" outlineLevel="0" collapsed="false">
      <c r="G164" s="8" t="n">
        <f aca="false">IF(OR(D164="",F164="sim"),0,D164*IFERROR(INDEX(Parâmetros!$B$22:$B$22,MATCH(E164,Parâmetros!$A$22:$A$22,0)),1)*(1+IF(E164=Parâmetros!$B$9,0,Parâmetros!$B$14)))</f>
        <v>0</v>
      </c>
    </row>
    <row r="165" customFormat="false" ht="15" hidden="false" customHeight="false" outlineLevel="0" collapsed="false">
      <c r="G165" s="8" t="n">
        <f aca="false">IF(OR(D165="",F165="sim"),0,D165*IFERROR(INDEX(Parâmetros!$B$22:$B$22,MATCH(E165,Parâmetros!$A$22:$A$22,0)),1)*(1+IF(E165=Parâmetros!$B$9,0,Parâmetros!$B$14)))</f>
        <v>0</v>
      </c>
    </row>
    <row r="166" customFormat="false" ht="15" hidden="false" customHeight="false" outlineLevel="0" collapsed="false">
      <c r="G166" s="8" t="n">
        <f aca="false">IF(OR(D166="",F166="sim"),0,D166*IFERROR(INDEX(Parâmetros!$B$22:$B$22,MATCH(E166,Parâmetros!$A$22:$A$22,0)),1)*(1+IF(E166=Parâmetros!$B$9,0,Parâmetros!$B$14)))</f>
        <v>0</v>
      </c>
    </row>
    <row r="167" customFormat="false" ht="15" hidden="false" customHeight="false" outlineLevel="0" collapsed="false">
      <c r="G167" s="8" t="n">
        <f aca="false">IF(OR(D167="",F167="sim"),0,D167*IFERROR(INDEX(Parâmetros!$B$22:$B$22,MATCH(E167,Parâmetros!$A$22:$A$22,0)),1)*(1+IF(E167=Parâmetros!$B$9,0,Parâmetros!$B$14)))</f>
        <v>0</v>
      </c>
    </row>
    <row r="168" customFormat="false" ht="15" hidden="false" customHeight="false" outlineLevel="0" collapsed="false">
      <c r="G168" s="8" t="n">
        <f aca="false">IF(OR(D168="",F168="sim"),0,D168*IFERROR(INDEX(Parâmetros!$B$22:$B$22,MATCH(E168,Parâmetros!$A$22:$A$22,0)),1)*(1+IF(E168=Parâmetros!$B$9,0,Parâmetros!$B$14)))</f>
        <v>0</v>
      </c>
    </row>
    <row r="169" customFormat="false" ht="15" hidden="false" customHeight="false" outlineLevel="0" collapsed="false">
      <c r="G169" s="8" t="n">
        <f aca="false">IF(OR(D169="",F169="sim"),0,D169*IFERROR(INDEX(Parâmetros!$B$22:$B$22,MATCH(E169,Parâmetros!$A$22:$A$22,0)),1)*(1+IF(E169=Parâmetros!$B$9,0,Parâmetros!$B$14)))</f>
        <v>0</v>
      </c>
    </row>
    <row r="170" customFormat="false" ht="15" hidden="false" customHeight="false" outlineLevel="0" collapsed="false">
      <c r="G170" s="8" t="n">
        <f aca="false">IF(OR(D170="",F170="sim"),0,D170*IFERROR(INDEX(Parâmetros!$B$22:$B$22,MATCH(E170,Parâmetros!$A$22:$A$22,0)),1)*(1+IF(E170=Parâmetros!$B$9,0,Parâmetros!$B$14)))</f>
        <v>0</v>
      </c>
    </row>
    <row r="171" customFormat="false" ht="15" hidden="false" customHeight="false" outlineLevel="0" collapsed="false">
      <c r="G171" s="8" t="n">
        <f aca="false">IF(OR(D171="",F171="sim"),0,D171*IFERROR(INDEX(Parâmetros!$B$22:$B$22,MATCH(E171,Parâmetros!$A$22:$A$22,0)),1)*(1+IF(E171=Parâmetros!$B$9,0,Parâmetros!$B$14)))</f>
        <v>0</v>
      </c>
    </row>
    <row r="172" customFormat="false" ht="15" hidden="false" customHeight="false" outlineLevel="0" collapsed="false">
      <c r="G172" s="8" t="n">
        <f aca="false">IF(OR(D172="",F172="sim"),0,D172*IFERROR(INDEX(Parâmetros!$B$22:$B$22,MATCH(E172,Parâmetros!$A$22:$A$22,0)),1)*(1+IF(E172=Parâmetros!$B$9,0,Parâmetros!$B$14)))</f>
        <v>0</v>
      </c>
    </row>
    <row r="173" customFormat="false" ht="15" hidden="false" customHeight="false" outlineLevel="0" collapsed="false">
      <c r="G173" s="8" t="n">
        <f aca="false">IF(OR(D173="",F173="sim"),0,D173*IFERROR(INDEX(Parâmetros!$B$22:$B$22,MATCH(E173,Parâmetros!$A$22:$A$22,0)),1)*(1+IF(E173=Parâmetros!$B$9,0,Parâmetros!$B$14)))</f>
        <v>0</v>
      </c>
    </row>
    <row r="174" customFormat="false" ht="15" hidden="false" customHeight="false" outlineLevel="0" collapsed="false">
      <c r="G174" s="8" t="n">
        <f aca="false">IF(OR(D174="",F174="sim"),0,D174*IFERROR(INDEX(Parâmetros!$B$22:$B$22,MATCH(E174,Parâmetros!$A$22:$A$22,0)),1)*(1+IF(E174=Parâmetros!$B$9,0,Parâmetros!$B$14)))</f>
        <v>0</v>
      </c>
    </row>
    <row r="175" customFormat="false" ht="15" hidden="false" customHeight="false" outlineLevel="0" collapsed="false">
      <c r="G175" s="8" t="n">
        <f aca="false">IF(OR(D175="",F175="sim"),0,D175*IFERROR(INDEX(Parâmetros!$B$22:$B$22,MATCH(E175,Parâmetros!$A$22:$A$22,0)),1)*(1+IF(E175=Parâmetros!$B$9,0,Parâmetros!$B$14)))</f>
        <v>0</v>
      </c>
    </row>
    <row r="176" customFormat="false" ht="15" hidden="false" customHeight="false" outlineLevel="0" collapsed="false">
      <c r="G176" s="8" t="n">
        <f aca="false">IF(OR(D176="",F176="sim"),0,D176*IFERROR(INDEX(Parâmetros!$B$22:$B$22,MATCH(E176,Parâmetros!$A$22:$A$22,0)),1)*(1+IF(E176=Parâmetros!$B$9,0,Parâmetros!$B$14)))</f>
        <v>0</v>
      </c>
    </row>
    <row r="177" customFormat="false" ht="15" hidden="false" customHeight="false" outlineLevel="0" collapsed="false">
      <c r="G177" s="8" t="n">
        <f aca="false">IF(OR(D177="",F177="sim"),0,D177*IFERROR(INDEX(Parâmetros!$B$22:$B$22,MATCH(E177,Parâmetros!$A$22:$A$22,0)),1)*(1+IF(E177=Parâmetros!$B$9,0,Parâmetros!$B$14)))</f>
        <v>0</v>
      </c>
    </row>
    <row r="178" customFormat="false" ht="15" hidden="false" customHeight="false" outlineLevel="0" collapsed="false">
      <c r="G178" s="8" t="n">
        <f aca="false">IF(OR(D178="",F178="sim"),0,D178*IFERROR(INDEX(Parâmetros!$B$22:$B$22,MATCH(E178,Parâmetros!$A$22:$A$22,0)),1)*(1+IF(E178=Parâmetros!$B$9,0,Parâmetros!$B$14)))</f>
        <v>0</v>
      </c>
    </row>
    <row r="179" customFormat="false" ht="15" hidden="false" customHeight="false" outlineLevel="0" collapsed="false">
      <c r="G179" s="8" t="n">
        <f aca="false">IF(OR(D179="",F179="sim"),0,D179*IFERROR(INDEX(Parâmetros!$B$22:$B$22,MATCH(E179,Parâmetros!$A$22:$A$22,0)),1)*(1+IF(E179=Parâmetros!$B$9,0,Parâmetros!$B$14)))</f>
        <v>0</v>
      </c>
    </row>
    <row r="180" customFormat="false" ht="15" hidden="false" customHeight="false" outlineLevel="0" collapsed="false">
      <c r="G180" s="8" t="n">
        <f aca="false">IF(OR(D180="",F180="sim"),0,D180*IFERROR(INDEX(Parâmetros!$B$22:$B$22,MATCH(E180,Parâmetros!$A$22:$A$22,0)),1)*(1+IF(E180=Parâmetros!$B$9,0,Parâmetros!$B$14)))</f>
        <v>0</v>
      </c>
    </row>
    <row r="181" customFormat="false" ht="15" hidden="false" customHeight="false" outlineLevel="0" collapsed="false">
      <c r="G181" s="8" t="n">
        <f aca="false">IF(OR(D181="",F181="sim"),0,D181*IFERROR(INDEX(Parâmetros!$B$22:$B$22,MATCH(E181,Parâmetros!$A$22:$A$22,0)),1)*(1+IF(E181=Parâmetros!$B$9,0,Parâmetros!$B$14)))</f>
        <v>0</v>
      </c>
    </row>
    <row r="182" customFormat="false" ht="15" hidden="false" customHeight="false" outlineLevel="0" collapsed="false">
      <c r="G182" s="8" t="n">
        <f aca="false">IF(OR(D182="",F182="sim"),0,D182*IFERROR(INDEX(Parâmetros!$B$22:$B$22,MATCH(E182,Parâmetros!$A$22:$A$22,0)),1)*(1+IF(E182=Parâmetros!$B$9,0,Parâmetros!$B$14)))</f>
        <v>0</v>
      </c>
    </row>
    <row r="183" customFormat="false" ht="15" hidden="false" customHeight="false" outlineLevel="0" collapsed="false">
      <c r="G183" s="8" t="n">
        <f aca="false">IF(OR(D183="",F183="sim"),0,D183*IFERROR(INDEX(Parâmetros!$B$22:$B$22,MATCH(E183,Parâmetros!$A$22:$A$22,0)),1)*(1+IF(E183=Parâmetros!$B$9,0,Parâmetros!$B$14)))</f>
        <v>0</v>
      </c>
    </row>
    <row r="184" customFormat="false" ht="15" hidden="false" customHeight="false" outlineLevel="0" collapsed="false">
      <c r="G184" s="8" t="n">
        <f aca="false">IF(OR(D184="",F184="sim"),0,D184*IFERROR(INDEX(Parâmetros!$B$22:$B$22,MATCH(E184,Parâmetros!$A$22:$A$22,0)),1)*(1+IF(E184=Parâmetros!$B$9,0,Parâmetros!$B$14)))</f>
        <v>0</v>
      </c>
    </row>
    <row r="185" customFormat="false" ht="15" hidden="false" customHeight="false" outlineLevel="0" collapsed="false">
      <c r="G185" s="8" t="n">
        <f aca="false">IF(OR(D185="",F185="sim"),0,D185*IFERROR(INDEX(Parâmetros!$B$22:$B$22,MATCH(E185,Parâmetros!$A$22:$A$22,0)),1)*(1+IF(E185=Parâmetros!$B$9,0,Parâmetros!$B$14)))</f>
        <v>0</v>
      </c>
    </row>
    <row r="186" customFormat="false" ht="15" hidden="false" customHeight="false" outlineLevel="0" collapsed="false">
      <c r="G186" s="8" t="n">
        <f aca="false">IF(OR(D186="",F186="sim"),0,D186*IFERROR(INDEX(Parâmetros!$B$22:$B$22,MATCH(E186,Parâmetros!$A$22:$A$22,0)),1)*(1+IF(E186=Parâmetros!$B$9,0,Parâmetros!$B$14)))</f>
        <v>0</v>
      </c>
    </row>
    <row r="187" customFormat="false" ht="15" hidden="false" customHeight="false" outlineLevel="0" collapsed="false">
      <c r="G187" s="8" t="n">
        <f aca="false">IF(OR(D187="",F187="sim"),0,D187*IFERROR(INDEX(Parâmetros!$B$22:$B$22,MATCH(E187,Parâmetros!$A$22:$A$22,0)),1)*(1+IF(E187=Parâmetros!$B$9,0,Parâmetros!$B$14)))</f>
        <v>0</v>
      </c>
    </row>
    <row r="188" customFormat="false" ht="15" hidden="false" customHeight="false" outlineLevel="0" collapsed="false">
      <c r="G188" s="8" t="n">
        <f aca="false">IF(OR(D188="",F188="sim"),0,D188*IFERROR(INDEX(Parâmetros!$B$22:$B$22,MATCH(E188,Parâmetros!$A$22:$A$22,0)),1)*(1+IF(E188=Parâmetros!$B$9,0,Parâmetros!$B$14)))</f>
        <v>0</v>
      </c>
    </row>
    <row r="189" customFormat="false" ht="15" hidden="false" customHeight="false" outlineLevel="0" collapsed="false">
      <c r="G189" s="8" t="n">
        <f aca="false">IF(OR(D189="",F189="sim"),0,D189*IFERROR(INDEX(Parâmetros!$B$22:$B$22,MATCH(E189,Parâmetros!$A$22:$A$22,0)),1)*(1+IF(E189=Parâmetros!$B$9,0,Parâmetros!$B$14)))</f>
        <v>0</v>
      </c>
    </row>
    <row r="190" customFormat="false" ht="15" hidden="false" customHeight="false" outlineLevel="0" collapsed="false">
      <c r="G190" s="8" t="n">
        <f aca="false">IF(OR(D190="",F190="sim"),0,D190*IFERROR(INDEX(Parâmetros!$B$22:$B$22,MATCH(E190,Parâmetros!$A$22:$A$22,0)),1)*(1+IF(E190=Parâmetros!$B$9,0,Parâmetros!$B$14)))</f>
        <v>0</v>
      </c>
    </row>
    <row r="191" customFormat="false" ht="15" hidden="false" customHeight="false" outlineLevel="0" collapsed="false">
      <c r="G191" s="8" t="n">
        <f aca="false">IF(OR(D191="",F191="sim"),0,D191*IFERROR(INDEX(Parâmetros!$B$22:$B$22,MATCH(E191,Parâmetros!$A$22:$A$22,0)),1)*(1+IF(E191=Parâmetros!$B$9,0,Parâmetros!$B$14)))</f>
        <v>0</v>
      </c>
    </row>
    <row r="192" customFormat="false" ht="15" hidden="false" customHeight="false" outlineLevel="0" collapsed="false">
      <c r="G192" s="8" t="n">
        <f aca="false">IF(OR(D192="",F192="sim"),0,D192*IFERROR(INDEX(Parâmetros!$B$22:$B$22,MATCH(E192,Parâmetros!$A$22:$A$22,0)),1)*(1+IF(E192=Parâmetros!$B$9,0,Parâmetros!$B$14)))</f>
        <v>0</v>
      </c>
    </row>
    <row r="193" customFormat="false" ht="15" hidden="false" customHeight="false" outlineLevel="0" collapsed="false">
      <c r="G193" s="8" t="n">
        <f aca="false">IF(OR(D193="",F193="sim"),0,D193*IFERROR(INDEX(Parâmetros!$B$22:$B$22,MATCH(E193,Parâmetros!$A$22:$A$22,0)),1)*(1+IF(E193=Parâmetros!$B$9,0,Parâmetros!$B$14)))</f>
        <v>0</v>
      </c>
    </row>
    <row r="194" customFormat="false" ht="15" hidden="false" customHeight="false" outlineLevel="0" collapsed="false">
      <c r="G194" s="8" t="n">
        <f aca="false">IF(OR(D194="",F194="sim"),0,D194*IFERROR(INDEX(Parâmetros!$B$22:$B$22,MATCH(E194,Parâmetros!$A$22:$A$22,0)),1)*(1+IF(E194=Parâmetros!$B$9,0,Parâmetros!$B$14)))</f>
        <v>0</v>
      </c>
    </row>
    <row r="195" customFormat="false" ht="15" hidden="false" customHeight="false" outlineLevel="0" collapsed="false">
      <c r="G195" s="8" t="n">
        <f aca="false">IF(OR(D195="",F195="sim"),0,D195*IFERROR(INDEX(Parâmetros!$B$22:$B$22,MATCH(E195,Parâmetros!$A$22:$A$22,0)),1)*(1+IF(E195=Parâmetros!$B$9,0,Parâmetros!$B$14)))</f>
        <v>0</v>
      </c>
    </row>
    <row r="196" customFormat="false" ht="15" hidden="false" customHeight="false" outlineLevel="0" collapsed="false">
      <c r="G196" s="8" t="n">
        <f aca="false">IF(OR(D196="",F196="sim"),0,D196*IFERROR(INDEX(Parâmetros!$B$22:$B$22,MATCH(E196,Parâmetros!$A$22:$A$22,0)),1)*(1+IF(E196=Parâmetros!$B$9,0,Parâmetros!$B$14)))</f>
        <v>0</v>
      </c>
    </row>
    <row r="197" customFormat="false" ht="15" hidden="false" customHeight="false" outlineLevel="0" collapsed="false">
      <c r="G197" s="8" t="n">
        <f aca="false">IF(OR(D197="",F197="sim"),0,D197*IFERROR(INDEX(Parâmetros!$B$22:$B$22,MATCH(E197,Parâmetros!$A$22:$A$22,0)),1)*(1+IF(E197=Parâmetros!$B$9,0,Parâmetros!$B$14)))</f>
        <v>0</v>
      </c>
    </row>
    <row r="198" customFormat="false" ht="15" hidden="false" customHeight="false" outlineLevel="0" collapsed="false">
      <c r="G198" s="8" t="n">
        <f aca="false">IF(OR(D198="",F198="sim"),0,D198*IFERROR(INDEX(Parâmetros!$B$22:$B$22,MATCH(E198,Parâmetros!$A$22:$A$22,0)),1)*(1+IF(E198=Parâmetros!$B$9,0,Parâmetros!$B$14)))</f>
        <v>0</v>
      </c>
    </row>
    <row r="199" customFormat="false" ht="15" hidden="false" customHeight="false" outlineLevel="0" collapsed="false">
      <c r="G199" s="8" t="n">
        <f aca="false">IF(OR(D199="",F199="sim"),0,D199*IFERROR(INDEX(Parâmetros!$B$22:$B$22,MATCH(E199,Parâmetros!$A$22:$A$22,0)),1)*(1+IF(E199=Parâmetros!$B$9,0,Parâmetros!$B$14)))</f>
        <v>0</v>
      </c>
    </row>
    <row r="200" customFormat="false" ht="15" hidden="false" customHeight="false" outlineLevel="0" collapsed="false">
      <c r="G200" s="8" t="n">
        <f aca="false">IF(OR(D200="",F200="sim"),0,D200*IFERROR(INDEX(Parâmetros!$B$22:$B$22,MATCH(E200,Parâmetros!$A$22:$A$22,0)),1)*(1+IF(E200=Parâmetros!$B$9,0,Parâmetros!$B$14)))</f>
        <v>0</v>
      </c>
    </row>
    <row r="201" customFormat="false" ht="15" hidden="false" customHeight="false" outlineLevel="0" collapsed="false">
      <c r="G201" s="8" t="n">
        <f aca="false">IF(OR(D201="",F201="sim"),0,D201*IFERROR(INDEX(Parâmetros!$B$22:$B$22,MATCH(E201,Parâmetros!$A$22:$A$22,0)),1)*(1+IF(E201=Parâmetros!$B$9,0,Parâmetros!$B$14)))</f>
        <v>0</v>
      </c>
    </row>
    <row r="202" customFormat="false" ht="15" hidden="false" customHeight="false" outlineLevel="0" collapsed="false">
      <c r="G202" s="8" t="n">
        <f aca="false">IF(OR(D202="",F202="sim"),0,D202*IFERROR(INDEX(Parâmetros!$B$22:$B$22,MATCH(E202,Parâmetros!$A$22:$A$22,0)),1)*(1+IF(E202=Parâmetros!$B$9,0,Parâmetros!$B$14)))</f>
        <v>0</v>
      </c>
    </row>
    <row r="203" customFormat="false" ht="15" hidden="false" customHeight="false" outlineLevel="0" collapsed="false">
      <c r="G203" s="8" t="n">
        <f aca="false">IF(OR(D203="",F203="sim"),0,D203*IFERROR(INDEX(Parâmetros!$B$22:$B$22,MATCH(E203,Parâmetros!$A$22:$A$22,0)),1)*(1+IF(E203=Parâmetros!$B$9,0,Parâmetros!$B$14)))</f>
        <v>0</v>
      </c>
    </row>
    <row r="204" customFormat="false" ht="15" hidden="false" customHeight="false" outlineLevel="0" collapsed="false">
      <c r="G204" s="8" t="n">
        <f aca="false">IF(OR(D204="",F204="sim"),0,D204*IFERROR(INDEX(Parâmetros!$B$22:$B$22,MATCH(E204,Parâmetros!$A$22:$A$22,0)),1)*(1+IF(E204=Parâmetros!$B$9,0,Parâmetros!$B$14)))</f>
        <v>0</v>
      </c>
    </row>
    <row r="205" customFormat="false" ht="15" hidden="false" customHeight="false" outlineLevel="0" collapsed="false">
      <c r="G205" s="8" t="n">
        <f aca="false">IF(OR(D205="",F205="sim"),0,D205*IFERROR(INDEX(Parâmetros!$B$22:$B$22,MATCH(E205,Parâmetros!$A$22:$A$22,0)),1)*(1+IF(E205=Parâmetros!$B$9,0,Parâmetros!$B$14)))</f>
        <v>0</v>
      </c>
    </row>
  </sheetData>
  <dataValidations count="2">
    <dataValidation allowBlank="true" errorStyle="stop" operator="between" showDropDown="false" showErrorMessage="false" showInputMessage="false" sqref="B5:B205" type="list">
      <formula1>Parâmetros!$A$27:$A$33</formula1>
      <formula2>0</formula2>
    </dataValidation>
    <dataValidation allowBlank="true" errorStyle="stop" operator="between" showDropDown="false" showErrorMessage="false" showInputMessage="false" sqref="F5:F205" type="list">
      <formula1>"sim,"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5"/>
    <col collapsed="false" customWidth="true" hidden="false" outlineLevel="0" max="3" min="3" style="0" width="11"/>
    <col collapsed="false" customWidth="true" hidden="false" outlineLevel="0" max="5" min="4" style="0" width="15"/>
    <col collapsed="false" customWidth="true" hidden="false" outlineLevel="0" max="7" min="6" style="0" width="12"/>
    <col collapsed="false" customWidth="true" hidden="false" outlineLevel="0" max="9" min="8" style="0" width="10"/>
  </cols>
  <sheetData>
    <row r="1" customFormat="false" ht="17.35" hidden="false" customHeight="false" outlineLevel="0" collapsed="false">
      <c r="A1" s="1" t="s">
        <v>340</v>
      </c>
    </row>
    <row r="2" customFormat="false" ht="15" hidden="false" customHeight="false" outlineLevel="0" collapsed="false">
      <c r="A2" s="3" t="s">
        <v>341</v>
      </c>
      <c r="D2" s="9" t="n">
        <f aca="false">MAX(0,-Resumo!D26)</f>
        <v>0</v>
      </c>
    </row>
    <row r="4" customFormat="false" ht="30" hidden="false" customHeight="true" outlineLevel="0" collapsed="false">
      <c r="A4" s="6" t="s">
        <v>91</v>
      </c>
      <c r="B4" s="6" t="s">
        <v>4</v>
      </c>
      <c r="C4" s="6" t="s">
        <v>342</v>
      </c>
      <c r="D4" s="6" t="s">
        <v>343</v>
      </c>
      <c r="E4" s="6" t="s">
        <v>344</v>
      </c>
      <c r="F4" s="6" t="s">
        <v>345</v>
      </c>
      <c r="G4" s="6" t="s">
        <v>346</v>
      </c>
      <c r="H4" s="6" t="s">
        <v>11</v>
      </c>
      <c r="I4" s="6" t="s">
        <v>347</v>
      </c>
    </row>
    <row r="5" customFormat="false" ht="15" hidden="false" customHeight="false" outlineLevel="0" collapsed="false">
      <c r="A5" s="7" t="str">
        <f aca="false">Itens!C4</f>
        <v>ibis Paris Bastille Opéra 11ème</v>
      </c>
      <c r="B5" s="7" t="str">
        <f aca="false">Itens!B4</f>
        <v>hospedagem</v>
      </c>
      <c r="C5" s="7" t="str">
        <f aca="false">Itens!H4</f>
        <v>plano</v>
      </c>
      <c r="D5" s="8" t="n">
        <f aca="false">Itens!R4</f>
        <v>390</v>
      </c>
      <c r="E5" s="8" t="n">
        <f aca="false">Itens!O4</f>
        <v>315</v>
      </c>
      <c r="F5" s="10" t="n">
        <f aca="false">MAX(0,D5-E5)</f>
        <v>75</v>
      </c>
      <c r="G5" s="10" t="n">
        <f aca="false">SUM($F$5:F5)</f>
        <v>75</v>
      </c>
      <c r="H5" s="7" t="str">
        <f aca="false">Itens!S4</f>
        <v>não</v>
      </c>
      <c r="I5" s="21" t="str">
        <f aca="false">IF(AND($D$2&gt;0,G5&gt;=$D$2,TRUE()),"← aqui","")</f>
        <v/>
      </c>
    </row>
    <row r="6" customFormat="false" ht="15" hidden="false" customHeight="false" outlineLevel="0" collapsed="false">
      <c r="A6" s="7" t="str">
        <f aca="false">Itens!C5</f>
        <v>B&amp;B Hôtel près de Disneyland Paris (Magny-le-Hongre)</v>
      </c>
      <c r="B6" s="7" t="str">
        <f aca="false">Itens!B5</f>
        <v>hospedagem</v>
      </c>
      <c r="C6" s="7" t="str">
        <f aca="false">Itens!H5</f>
        <v>plano</v>
      </c>
      <c r="D6" s="8" t="n">
        <f aca="false">Itens!R5</f>
        <v>120</v>
      </c>
      <c r="E6" s="8" t="n">
        <f aca="false">Itens!O5</f>
        <v>70</v>
      </c>
      <c r="F6" s="10" t="n">
        <f aca="false">MAX(0,D6-E6)</f>
        <v>50</v>
      </c>
      <c r="G6" s="10" t="n">
        <f aca="false">SUM($F$5:F6)</f>
        <v>125</v>
      </c>
      <c r="H6" s="7" t="str">
        <f aca="false">Itens!S5</f>
        <v>não</v>
      </c>
      <c r="I6" s="21" t="str">
        <f aca="false">IF(AND($D$2&gt;0,G6&gt;=$D$2,G5&lt;$D$2),"← aqui","")</f>
        <v/>
      </c>
    </row>
    <row r="7" customFormat="false" ht="15" hidden="false" customHeight="false" outlineLevel="0" collapsed="false">
      <c r="A7" s="7" t="str">
        <f aca="false">Itens!C28</f>
        <v>Estimativa restante — Extras e compras</v>
      </c>
      <c r="B7" s="7" t="str">
        <f aca="false">Itens!B28</f>
        <v>extras</v>
      </c>
      <c r="C7" s="7" t="str">
        <f aca="false">Itens!H28</f>
        <v>plano</v>
      </c>
      <c r="D7" s="8" t="n">
        <f aca="false">Itens!R28</f>
        <v>80</v>
      </c>
      <c r="E7" s="8" t="n">
        <f aca="false">Itens!O28</f>
        <v>40</v>
      </c>
      <c r="F7" s="10" t="n">
        <f aca="false">MAX(0,D7-E7)</f>
        <v>40</v>
      </c>
      <c r="G7" s="10" t="n">
        <f aca="false">SUM($F$5:F7)</f>
        <v>165</v>
      </c>
      <c r="H7" s="7" t="str">
        <f aca="false">Itens!S28</f>
        <v>não</v>
      </c>
      <c r="I7" s="21" t="str">
        <f aca="false">IF(AND($D$2&gt;0,G7&gt;=$D$2,G6&lt;$D$2),"← aqui","")</f>
        <v/>
      </c>
    </row>
    <row r="8" customFormat="false" ht="15" hidden="false" customHeight="false" outlineLevel="0" collapsed="false">
      <c r="A8" s="7" t="str">
        <f aca="false">Itens!C18</f>
        <v>Bilhetes de metrô, ≈ 12 viagens</v>
      </c>
      <c r="B8" s="7" t="str">
        <f aca="false">Itens!B18</f>
        <v>transporte-local</v>
      </c>
      <c r="C8" s="7" t="str">
        <f aca="false">Itens!H18</f>
        <v>plano</v>
      </c>
      <c r="D8" s="8" t="n">
        <f aca="false">Itens!R18</f>
        <v>62</v>
      </c>
      <c r="E8" s="8" t="n">
        <f aca="false">Itens!O18</f>
        <v>40</v>
      </c>
      <c r="F8" s="10" t="n">
        <f aca="false">MAX(0,D8-E8)</f>
        <v>22</v>
      </c>
      <c r="G8" s="10" t="n">
        <f aca="false">SUM($F$5:F8)</f>
        <v>187</v>
      </c>
      <c r="H8" s="7" t="str">
        <f aca="false">Itens!S18</f>
        <v>não</v>
      </c>
      <c r="I8" s="21" t="str">
        <f aca="false">IF(AND($D$2&gt;0,G8&gt;=$D$2,G7&lt;$D$2),"← aqui","")</f>
        <v/>
      </c>
    </row>
    <row r="9" customFormat="false" ht="15" hidden="false" customHeight="false" outlineLevel="0" collapsed="false">
      <c r="A9" s="7" t="str">
        <f aca="false">Itens!C2</f>
        <v>Voo OPO → ORY (Transavia)</v>
      </c>
      <c r="B9" s="7" t="str">
        <f aca="false">Itens!B2</f>
        <v>voos</v>
      </c>
      <c r="C9" s="7" t="str">
        <f aca="false">Itens!H2</f>
        <v>plano</v>
      </c>
      <c r="D9" s="8" t="n">
        <f aca="false">Itens!R2</f>
        <v>100</v>
      </c>
      <c r="E9" s="8" t="n">
        <f aca="false">Itens!O2</f>
        <v>80</v>
      </c>
      <c r="F9" s="10" t="n">
        <f aca="false">MAX(0,D9-E9)</f>
        <v>20</v>
      </c>
      <c r="G9" s="10" t="n">
        <f aca="false">SUM($F$5:F9)</f>
        <v>207</v>
      </c>
      <c r="H9" s="7" t="str">
        <f aca="false">Itens!S2</f>
        <v>não</v>
      </c>
      <c r="I9" s="21" t="str">
        <f aca="false">IF(AND($D$2&gt;0,G9&gt;=$D$2,G8&lt;$D$2),"← aqui","")</f>
        <v/>
      </c>
    </row>
    <row r="10" customFormat="false" ht="15" hidden="false" customHeight="false" outlineLevel="0" collapsed="false">
      <c r="A10" s="7" t="str">
        <f aca="false">Itens!C3</f>
        <v>Voo ORY → OPO (Transavia)</v>
      </c>
      <c r="B10" s="7" t="str">
        <f aca="false">Itens!B3</f>
        <v>voos</v>
      </c>
      <c r="C10" s="7" t="str">
        <f aca="false">Itens!H3</f>
        <v>plano</v>
      </c>
      <c r="D10" s="8" t="n">
        <f aca="false">Itens!R3</f>
        <v>100</v>
      </c>
      <c r="E10" s="8" t="n">
        <f aca="false">Itens!O3</f>
        <v>80</v>
      </c>
      <c r="F10" s="10" t="n">
        <f aca="false">MAX(0,D10-E10)</f>
        <v>20</v>
      </c>
      <c r="G10" s="10" t="n">
        <f aca="false">SUM($F$5:F10)</f>
        <v>227</v>
      </c>
      <c r="H10" s="7" t="str">
        <f aca="false">Itens!S3</f>
        <v>não</v>
      </c>
      <c r="I10" s="21" t="str">
        <f aca="false">IF(AND($D$2&gt;0,G10&gt;=$D$2,G9&lt;$D$2),"← aqui","")</f>
        <v/>
      </c>
    </row>
    <row r="11" customFormat="false" ht="15" hidden="false" customHeight="false" outlineLevel="0" collapsed="false">
      <c r="A11" s="7" t="str">
        <f aca="false">Itens!C20</f>
        <v>RER A Paris ⇄ Marne-la-Vallée–Chessy</v>
      </c>
      <c r="B11" s="7" t="str">
        <f aca="false">Itens!B20</f>
        <v>transporte-local</v>
      </c>
      <c r="C11" s="7" t="str">
        <f aca="false">Itens!H20</f>
        <v>plano</v>
      </c>
      <c r="D11" s="8" t="n">
        <f aca="false">Itens!R20</f>
        <v>10</v>
      </c>
      <c r="E11" s="8" t="n">
        <f aca="false">Itens!O20</f>
        <v>8.281</v>
      </c>
      <c r="F11" s="10" t="n">
        <f aca="false">MAX(0,D11-E11)</f>
        <v>1.719</v>
      </c>
      <c r="G11" s="10" t="n">
        <f aca="false">SUM($F$5:F11)</f>
        <v>228.719</v>
      </c>
      <c r="H11" s="7" t="str">
        <f aca="false">Itens!S20</f>
        <v>não</v>
      </c>
      <c r="I11" s="21" t="str">
        <f aca="false">IF(AND($D$2&gt;0,G11&gt;=$D$2,G10&lt;$D$2),"← aqui","")</f>
        <v/>
      </c>
    </row>
    <row r="12" customFormat="false" ht="15" hidden="false" customHeight="false" outlineLevel="0" collapsed="false">
      <c r="A12" s="7" t="str">
        <f aca="false">Itens!C6</f>
        <v>Taxa de turismo — Paris</v>
      </c>
      <c r="B12" s="7" t="str">
        <f aca="false">Itens!B6</f>
        <v>taxa-turismo</v>
      </c>
      <c r="C12" s="7" t="str">
        <f aca="false">Itens!H6</f>
        <v>plano</v>
      </c>
      <c r="D12" s="8" t="n">
        <f aca="false">Itens!R6</f>
        <v>19.5</v>
      </c>
      <c r="E12" s="8" t="n">
        <f aca="false">Itens!O6</f>
        <v>19.5</v>
      </c>
      <c r="F12" s="10" t="n">
        <f aca="false">MAX(0,D12-E12)</f>
        <v>0</v>
      </c>
      <c r="G12" s="10" t="n">
        <f aca="false">SUM($F$5:F12)</f>
        <v>228.719</v>
      </c>
      <c r="H12" s="7" t="str">
        <f aca="false">Itens!S6</f>
        <v>não</v>
      </c>
      <c r="I12" s="21" t="str">
        <f aca="false">IF(AND($D$2&gt;0,G12&gt;=$D$2,G11&lt;$D$2),"← aqui","")</f>
        <v/>
      </c>
    </row>
    <row r="13" customFormat="false" ht="15" hidden="false" customHeight="false" outlineLevel="0" collapsed="false">
      <c r="A13" s="7" t="str">
        <f aca="false">Itens!C7</f>
        <v>Taxa de turismo — Disneyland Paris</v>
      </c>
      <c r="B13" s="7" t="str">
        <f aca="false">Itens!B7</f>
        <v>taxa-turismo</v>
      </c>
      <c r="C13" s="7" t="str">
        <f aca="false">Itens!H7</f>
        <v>plano</v>
      </c>
      <c r="D13" s="8" t="n">
        <f aca="false">Itens!R7</f>
        <v>3</v>
      </c>
      <c r="E13" s="8" t="n">
        <f aca="false">Itens!O7</f>
        <v>3</v>
      </c>
      <c r="F13" s="10" t="n">
        <f aca="false">MAX(0,D13-E13)</f>
        <v>0</v>
      </c>
      <c r="G13" s="10" t="n">
        <f aca="false">SUM($F$5:F13)</f>
        <v>228.719</v>
      </c>
      <c r="H13" s="7" t="str">
        <f aca="false">Itens!S7</f>
        <v>não</v>
      </c>
      <c r="I13" s="21" t="str">
        <f aca="false">IF(AND($D$2&gt;0,G13&gt;=$D$2,G12&lt;$D$2),"← aqui","")</f>
        <v/>
      </c>
    </row>
    <row r="14" customFormat="false" ht="15" hidden="false" customHeight="false" outlineLevel="0" collapsed="false">
      <c r="A14" s="7" t="str">
        <f aca="false">Itens!C8</f>
        <v>Estimativa restante — Taxa de turismo</v>
      </c>
      <c r="B14" s="7" t="str">
        <f aca="false">Itens!B8</f>
        <v>taxa-turismo</v>
      </c>
      <c r="C14" s="7" t="str">
        <f aca="false">Itens!H8</f>
        <v>plano</v>
      </c>
      <c r="D14" s="8" t="n">
        <f aca="false">Itens!R8</f>
        <v>0.5</v>
      </c>
      <c r="E14" s="8" t="n">
        <f aca="false">Itens!O8</f>
        <v>0.5</v>
      </c>
      <c r="F14" s="10" t="n">
        <f aca="false">MAX(0,D14-E14)</f>
        <v>0</v>
      </c>
      <c r="G14" s="10" t="n">
        <f aca="false">SUM($F$5:F14)</f>
        <v>228.719</v>
      </c>
      <c r="H14" s="7" t="str">
        <f aca="false">Itens!S8</f>
        <v>não</v>
      </c>
      <c r="I14" s="21" t="str">
        <f aca="false">IF(AND($D$2&gt;0,G14&gt;=$D$2,G13&lt;$D$2),"← aqui","")</f>
        <v/>
      </c>
    </row>
    <row r="15" customFormat="false" ht="15" hidden="false" customHeight="false" outlineLevel="0" collapsed="false">
      <c r="A15" s="7" t="str">
        <f aca="false">Itens!C19</f>
        <v>Orly ⇄ Paris pelo metrô 14 (bilhete aeroporto €14)</v>
      </c>
      <c r="B15" s="7" t="str">
        <f aca="false">Itens!B19</f>
        <v>transporte-local</v>
      </c>
      <c r="C15" s="7" t="str">
        <f aca="false">Itens!H19</f>
        <v>plano</v>
      </c>
      <c r="D15" s="8" t="n">
        <f aca="false">Itens!R19</f>
        <v>56</v>
      </c>
      <c r="E15" s="8" t="n">
        <f aca="false">Itens!O19</f>
        <v>56</v>
      </c>
      <c r="F15" s="10" t="n">
        <f aca="false">MAX(0,D15-E15)</f>
        <v>0</v>
      </c>
      <c r="G15" s="10" t="n">
        <f aca="false">SUM($F$5:F15)</f>
        <v>228.719</v>
      </c>
      <c r="H15" s="7" t="str">
        <f aca="false">Itens!S19</f>
        <v>não</v>
      </c>
      <c r="I15" s="21" t="str">
        <f aca="false">IF(AND($D$2&gt;0,G15&gt;=$D$2,G14&lt;$D$2),"← aqui","")</f>
        <v/>
      </c>
    </row>
    <row r="16" customFormat="false" ht="15" hidden="false" customHeight="false" outlineLevel="0" collapsed="false">
      <c r="A16" s="11" t="str">
        <f aca="false">Itens!C9</f>
        <v>Almoço de padaria no Marais: fórmula sanduíche + doce</v>
      </c>
      <c r="B16" s="11" t="str">
        <f aca="false">Itens!B9</f>
        <v>alimentacao</v>
      </c>
      <c r="C16" s="11" t="str">
        <f aca="false">Itens!H9</f>
        <v>plano</v>
      </c>
      <c r="D16" s="12" t="n">
        <f aca="false">Itens!R9</f>
        <v>18</v>
      </c>
      <c r="E16" s="12" t="n">
        <f aca="false">Itens!O9</f>
        <v>10.8</v>
      </c>
      <c r="F16" s="14" t="n">
        <f aca="false">MAX(0,D16-E16)</f>
        <v>7.2</v>
      </c>
      <c r="G16" s="14" t="n">
        <f aca="false">SUM($F$5:F16)</f>
        <v>235.919</v>
      </c>
      <c r="H16" s="11" t="str">
        <f aca="false">Itens!S9</f>
        <v>sim</v>
      </c>
      <c r="I16" s="49" t="str">
        <f aca="false">IF(AND($D$2&gt;0,G16&gt;=$D$2,G15&lt;$D$2),"← aqui","")</f>
        <v/>
      </c>
    </row>
    <row r="17" customFormat="false" ht="15" hidden="false" customHeight="false" outlineLevel="0" collapsed="false">
      <c r="A17" s="11" t="str">
        <f aca="false">Itens!C10</f>
        <v>Bouillon Chartier: menu completo por menos de €20</v>
      </c>
      <c r="B17" s="11" t="str">
        <f aca="false">Itens!B10</f>
        <v>alimentacao</v>
      </c>
      <c r="C17" s="11" t="str">
        <f aca="false">Itens!H10</f>
        <v>plano</v>
      </c>
      <c r="D17" s="12" t="n">
        <f aca="false">Itens!R10</f>
        <v>38</v>
      </c>
      <c r="E17" s="12" t="n">
        <f aca="false">Itens!O10</f>
        <v>18</v>
      </c>
      <c r="F17" s="14" t="n">
        <f aca="false">MAX(0,D17-E17)</f>
        <v>20</v>
      </c>
      <c r="G17" s="14" t="n">
        <f aca="false">SUM($F$5:F17)</f>
        <v>255.919</v>
      </c>
      <c r="H17" s="11" t="str">
        <f aca="false">Itens!S10</f>
        <v>sim</v>
      </c>
      <c r="I17" s="49" t="str">
        <f aca="false">IF(AND($D$2&gt;0,G17&gt;=$D$2,G16&lt;$D$2),"← aqui","")</f>
        <v/>
      </c>
    </row>
    <row r="18" customFormat="false" ht="15" hidden="false" customHeight="false" outlineLevel="0" collapsed="false">
      <c r="A18" s="11" t="str">
        <f aca="false">Itens!C11</f>
        <v>Almoço no parque</v>
      </c>
      <c r="B18" s="11" t="str">
        <f aca="false">Itens!B11</f>
        <v>alimentacao</v>
      </c>
      <c r="C18" s="11" t="str">
        <f aca="false">Itens!H11</f>
        <v>plano</v>
      </c>
      <c r="D18" s="12" t="n">
        <f aca="false">Itens!R11</f>
        <v>50</v>
      </c>
      <c r="E18" s="12" t="n">
        <f aca="false">Itens!O11</f>
        <v>30</v>
      </c>
      <c r="F18" s="14" t="n">
        <f aca="false">MAX(0,D18-E18)</f>
        <v>20</v>
      </c>
      <c r="G18" s="14" t="n">
        <f aca="false">SUM($F$5:F18)</f>
        <v>275.919</v>
      </c>
      <c r="H18" s="11" t="str">
        <f aca="false">Itens!S11</f>
        <v>sim</v>
      </c>
      <c r="I18" s="49" t="str">
        <f aca="false">IF(AND($D$2&gt;0,G18&gt;=$D$2,G17&lt;$D$2),"← aqui","")</f>
        <v/>
      </c>
    </row>
    <row r="19" customFormat="false" ht="15" hidden="false" customHeight="false" outlineLevel="0" collapsed="false">
      <c r="A19" s="11" t="str">
        <f aca="false">Itens!C12</f>
        <v>Jantar leve perto do hotel</v>
      </c>
      <c r="B19" s="11" t="str">
        <f aca="false">Itens!B12</f>
        <v>alimentacao</v>
      </c>
      <c r="C19" s="11" t="str">
        <f aca="false">Itens!H12</f>
        <v>plano</v>
      </c>
      <c r="D19" s="12" t="n">
        <f aca="false">Itens!R12</f>
        <v>36</v>
      </c>
      <c r="E19" s="12" t="n">
        <f aca="false">Itens!O12</f>
        <v>21.6</v>
      </c>
      <c r="F19" s="14" t="n">
        <f aca="false">MAX(0,D19-E19)</f>
        <v>14.4</v>
      </c>
      <c r="G19" s="14" t="n">
        <f aca="false">SUM($F$5:F19)</f>
        <v>290.319</v>
      </c>
      <c r="H19" s="11" t="str">
        <f aca="false">Itens!S12</f>
        <v>sim</v>
      </c>
      <c r="I19" s="49" t="str">
        <f aca="false">IF(AND($D$2&gt;0,G19&gt;=$D$2,G18&lt;$D$2),"← aqui","")</f>
        <v/>
      </c>
    </row>
    <row r="20" customFormat="false" ht="15" hidden="false" customHeight="false" outlineLevel="0" collapsed="false">
      <c r="A20" s="11" t="str">
        <f aca="false">Itens!C13</f>
        <v>Almoço no parque</v>
      </c>
      <c r="B20" s="11" t="str">
        <f aca="false">Itens!B13</f>
        <v>alimentacao</v>
      </c>
      <c r="C20" s="11" t="str">
        <f aca="false">Itens!H13</f>
        <v>plano</v>
      </c>
      <c r="D20" s="12" t="n">
        <f aca="false">Itens!R13</f>
        <v>50</v>
      </c>
      <c r="E20" s="12" t="n">
        <f aca="false">Itens!O13</f>
        <v>30</v>
      </c>
      <c r="F20" s="14" t="n">
        <f aca="false">MAX(0,D20-E20)</f>
        <v>20</v>
      </c>
      <c r="G20" s="14" t="n">
        <f aca="false">SUM($F$5:F20)</f>
        <v>310.319</v>
      </c>
      <c r="H20" s="11" t="str">
        <f aca="false">Itens!S13</f>
        <v>sim</v>
      </c>
      <c r="I20" s="49" t="str">
        <f aca="false">IF(AND($D$2&gt;0,G20&gt;=$D$2,G19&lt;$D$2),"← aqui","")</f>
        <v/>
      </c>
    </row>
    <row r="21" customFormat="false" ht="15" hidden="false" customHeight="false" outlineLevel="0" collapsed="false">
      <c r="A21" s="11" t="str">
        <f aca="false">Itens!C14</f>
        <v>Jantar em bistrô do 7e ou Bouillon Pigalle</v>
      </c>
      <c r="B21" s="11" t="str">
        <f aca="false">Itens!B14</f>
        <v>alimentacao</v>
      </c>
      <c r="C21" s="11" t="str">
        <f aca="false">Itens!H14</f>
        <v>plano</v>
      </c>
      <c r="D21" s="12" t="n">
        <f aca="false">Itens!R14</f>
        <v>44</v>
      </c>
      <c r="E21" s="12" t="n">
        <f aca="false">Itens!O14</f>
        <v>26.4</v>
      </c>
      <c r="F21" s="14" t="n">
        <f aca="false">MAX(0,D21-E21)</f>
        <v>17.6</v>
      </c>
      <c r="G21" s="14" t="n">
        <f aca="false">SUM($F$5:F21)</f>
        <v>327.919</v>
      </c>
      <c r="H21" s="11" t="str">
        <f aca="false">Itens!S14</f>
        <v>sim</v>
      </c>
      <c r="I21" s="49" t="str">
        <f aca="false">IF(AND($D$2&gt;0,G21&gt;=$D$2,G20&lt;$D$2),"← aqui","")</f>
        <v/>
      </c>
    </row>
    <row r="22" customFormat="false" ht="15" hidden="false" customHeight="false" outlineLevel="0" collapsed="false">
      <c r="A22" s="11" t="str">
        <f aca="false">Itens!C15</f>
        <v>Piquenique nas Tulherias ou padaria da Rue de Rivoli</v>
      </c>
      <c r="B22" s="11" t="str">
        <f aca="false">Itens!B15</f>
        <v>alimentacao</v>
      </c>
      <c r="C22" s="11" t="str">
        <f aca="false">Itens!H15</f>
        <v>plano</v>
      </c>
      <c r="D22" s="12" t="n">
        <f aca="false">Itens!R15</f>
        <v>20</v>
      </c>
      <c r="E22" s="12" t="n">
        <f aca="false">Itens!O15</f>
        <v>12</v>
      </c>
      <c r="F22" s="14" t="n">
        <f aca="false">MAX(0,D22-E22)</f>
        <v>8</v>
      </c>
      <c r="G22" s="14" t="n">
        <f aca="false">SUM($F$5:F22)</f>
        <v>335.919</v>
      </c>
      <c r="H22" s="11" t="str">
        <f aca="false">Itens!S15</f>
        <v>sim</v>
      </c>
      <c r="I22" s="49" t="str">
        <f aca="false">IF(AND($D$2&gt;0,G22&gt;=$D$2,G21&lt;$D$2),"← aqui","")</f>
        <v/>
      </c>
    </row>
    <row r="23" customFormat="false" ht="15" hidden="false" customHeight="false" outlineLevel="0" collapsed="false">
      <c r="A23" s="11" t="str">
        <f aca="false">Itens!C16</f>
        <v>Marché d'Aligre: queijo, ostras e um copo no balcão</v>
      </c>
      <c r="B23" s="11" t="str">
        <f aca="false">Itens!B16</f>
        <v>alimentacao</v>
      </c>
      <c r="C23" s="11" t="str">
        <f aca="false">Itens!H16</f>
        <v>plano</v>
      </c>
      <c r="D23" s="12" t="n">
        <f aca="false">Itens!R16</f>
        <v>30</v>
      </c>
      <c r="E23" s="12" t="n">
        <f aca="false">Itens!O16</f>
        <v>20</v>
      </c>
      <c r="F23" s="14" t="n">
        <f aca="false">MAX(0,D23-E23)</f>
        <v>10</v>
      </c>
      <c r="G23" s="14" t="n">
        <f aca="false">SUM($F$5:F23)</f>
        <v>345.919</v>
      </c>
      <c r="H23" s="11" t="str">
        <f aca="false">Itens!S16</f>
        <v>sim</v>
      </c>
      <c r="I23" s="49" t="str">
        <f aca="false">IF(AND($D$2&gt;0,G23&gt;=$D$2,G22&lt;$D$2),"← aqui","")</f>
        <v/>
      </c>
    </row>
    <row r="24" customFormat="false" ht="15" hidden="false" customHeight="false" outlineLevel="0" collapsed="false">
      <c r="A24" s="11" t="str">
        <f aca="false">Itens!C17</f>
        <v>Estimativa restante — Alimentação</v>
      </c>
      <c r="B24" s="11" t="str">
        <f aca="false">Itens!B17</f>
        <v>alimentacao</v>
      </c>
      <c r="C24" s="11" t="str">
        <f aca="false">Itens!H17</f>
        <v>plano</v>
      </c>
      <c r="D24" s="12" t="n">
        <f aca="false">Itens!R17</f>
        <v>94</v>
      </c>
      <c r="E24" s="12" t="n">
        <f aca="false">Itens!O17</f>
        <v>94</v>
      </c>
      <c r="F24" s="14" t="n">
        <f aca="false">MAX(0,D24-E24)</f>
        <v>0</v>
      </c>
      <c r="G24" s="14" t="n">
        <f aca="false">SUM($F$5:F24)</f>
        <v>345.919</v>
      </c>
      <c r="H24" s="11" t="str">
        <f aca="false">Itens!S17</f>
        <v>sim</v>
      </c>
      <c r="I24" s="49" t="str">
        <f aca="false">IF(AND($D$2&gt;0,G24&gt;=$D$2,G23&lt;$D$2),"← aqui","")</f>
        <v/>
      </c>
    </row>
    <row r="25" customFormat="false" ht="15" hidden="false" customHeight="false" outlineLevel="0" collapsed="false">
      <c r="A25" s="11" t="str">
        <f aca="false">Itens!C21</f>
        <v>Sainte-Chapelle — com hora marcada</v>
      </c>
      <c r="B25" s="11" t="str">
        <f aca="false">Itens!B21</f>
        <v>atracoes</v>
      </c>
      <c r="C25" s="11" t="str">
        <f aca="false">Itens!H21</f>
        <v>plano</v>
      </c>
      <c r="D25" s="12" t="n">
        <f aca="false">Itens!R21</f>
        <v>26</v>
      </c>
      <c r="E25" s="12" t="n">
        <f aca="false">Itens!O21</f>
        <v>20</v>
      </c>
      <c r="F25" s="14" t="n">
        <f aca="false">MAX(0,D25-E25)</f>
        <v>6</v>
      </c>
      <c r="G25" s="14" t="n">
        <f aca="false">SUM($F$5:F25)</f>
        <v>351.919</v>
      </c>
      <c r="H25" s="11" t="str">
        <f aca="false">Itens!S21</f>
        <v>sim</v>
      </c>
      <c r="I25" s="49" t="str">
        <f aca="false">IF(AND($D$2&gt;0,G25&gt;=$D$2,G24&lt;$D$2),"← aqui","")</f>
        <v/>
      </c>
    </row>
    <row r="26" customFormat="false" ht="15" hidden="false" customHeight="false" outlineLevel="0" collapsed="false">
      <c r="A26" s="11" t="str">
        <f aca="false">Itens!C22</f>
        <v>Disneyland Park — abertura às 9h30</v>
      </c>
      <c r="B26" s="11" t="str">
        <f aca="false">Itens!B22</f>
        <v>atracoes</v>
      </c>
      <c r="C26" s="11" t="str">
        <f aca="false">Itens!H22</f>
        <v>plano</v>
      </c>
      <c r="D26" s="12" t="n">
        <f aca="false">Itens!R22</f>
        <v>300</v>
      </c>
      <c r="E26" s="12" t="n">
        <f aca="false">Itens!O22</f>
        <v>284</v>
      </c>
      <c r="F26" s="14" t="n">
        <f aca="false">MAX(0,D26-E26)</f>
        <v>16</v>
      </c>
      <c r="G26" s="14" t="n">
        <f aca="false">SUM($F$5:F26)</f>
        <v>367.919</v>
      </c>
      <c r="H26" s="11" t="str">
        <f aca="false">Itens!S22</f>
        <v>sim</v>
      </c>
      <c r="I26" s="49" t="str">
        <f aca="false">IF(AND($D$2&gt;0,G26&gt;=$D$2,G25&lt;$D$2),"← aqui","")</f>
        <v/>
      </c>
    </row>
    <row r="27" customFormat="false" ht="15" hidden="false" customHeight="false" outlineLevel="0" collapsed="false">
      <c r="A27" s="11" t="str">
        <f aca="false">Itens!C23</f>
        <v>Torre Eiffel pela escada, até o 2º andar</v>
      </c>
      <c r="B27" s="11" t="str">
        <f aca="false">Itens!B23</f>
        <v>atracoes</v>
      </c>
      <c r="C27" s="11" t="str">
        <f aca="false">Itens!H23</f>
        <v>plano</v>
      </c>
      <c r="D27" s="12" t="n">
        <f aca="false">Itens!R23</f>
        <v>29.6</v>
      </c>
      <c r="E27" s="12" t="n">
        <f aca="false">Itens!O23</f>
        <v>0</v>
      </c>
      <c r="F27" s="14" t="n">
        <f aca="false">MAX(0,D27-E27)</f>
        <v>29.6</v>
      </c>
      <c r="G27" s="14" t="n">
        <f aca="false">SUM($F$5:F27)</f>
        <v>397.519</v>
      </c>
      <c r="H27" s="11" t="str">
        <f aca="false">Itens!S23</f>
        <v>sim</v>
      </c>
      <c r="I27" s="49" t="str">
        <f aca="false">IF(AND($D$2&gt;0,G27&gt;=$D$2,G26&lt;$D$2),"← aqui","")</f>
        <v/>
      </c>
    </row>
    <row r="28" customFormat="false" ht="15" hidden="false" customHeight="false" outlineLevel="0" collapsed="false">
      <c r="A28" s="11" t="str">
        <f aca="false">Itens!C24</f>
        <v>Louvre — entrada 9h, tarifa residente EEE</v>
      </c>
      <c r="B28" s="11" t="str">
        <f aca="false">Itens!B24</f>
        <v>atracoes</v>
      </c>
      <c r="C28" s="11" t="str">
        <f aca="false">Itens!H24</f>
        <v>plano</v>
      </c>
      <c r="D28" s="12" t="n">
        <f aca="false">Itens!R24</f>
        <v>44</v>
      </c>
      <c r="E28" s="12" t="n">
        <f aca="false">Itens!O24</f>
        <v>44</v>
      </c>
      <c r="F28" s="14" t="n">
        <f aca="false">MAX(0,D28-E28)</f>
        <v>0</v>
      </c>
      <c r="G28" s="14" t="n">
        <f aca="false">SUM($F$5:F28)</f>
        <v>397.519</v>
      </c>
      <c r="H28" s="11" t="str">
        <f aca="false">Itens!S24</f>
        <v>sim</v>
      </c>
      <c r="I28" s="49" t="str">
        <f aca="false">IF(AND($D$2&gt;0,G28&gt;=$D$2,G27&lt;$D$2),"← aqui","")</f>
        <v/>
      </c>
    </row>
    <row r="29" customFormat="false" ht="15" hidden="false" customHeight="false" outlineLevel="0" collapsed="false">
      <c r="A29" s="11" t="str">
        <f aca="false">Itens!C25</f>
        <v>Orangerie: as Ninfeias de Monet</v>
      </c>
      <c r="B29" s="11" t="str">
        <f aca="false">Itens!B25</f>
        <v>atracoes</v>
      </c>
      <c r="C29" s="11" t="str">
        <f aca="false">Itens!H25</f>
        <v>plano</v>
      </c>
      <c r="D29" s="12" t="n">
        <f aca="false">Itens!R25</f>
        <v>25</v>
      </c>
      <c r="E29" s="12" t="n">
        <f aca="false">Itens!O25</f>
        <v>25</v>
      </c>
      <c r="F29" s="14" t="n">
        <f aca="false">MAX(0,D29-E29)</f>
        <v>0</v>
      </c>
      <c r="G29" s="14" t="n">
        <f aca="false">SUM($F$5:F29)</f>
        <v>397.519</v>
      </c>
      <c r="H29" s="11" t="str">
        <f aca="false">Itens!S25</f>
        <v>sim</v>
      </c>
      <c r="I29" s="49" t="str">
        <f aca="false">IF(AND($D$2&gt;0,G29&gt;=$D$2,G28&lt;$D$2),"← aqui","")</f>
        <v/>
      </c>
    </row>
    <row r="30" customFormat="false" ht="15" hidden="false" customHeight="false" outlineLevel="0" collapsed="false">
      <c r="A30" s="11" t="str">
        <f aca="false">Itens!C26</f>
        <v>Musée d'Orsay — entrada 9h30</v>
      </c>
      <c r="B30" s="11" t="str">
        <f aca="false">Itens!B26</f>
        <v>atracoes</v>
      </c>
      <c r="C30" s="11" t="str">
        <f aca="false">Itens!H26</f>
        <v>plano</v>
      </c>
      <c r="D30" s="12" t="n">
        <f aca="false">Itens!R26</f>
        <v>32</v>
      </c>
      <c r="E30" s="12" t="n">
        <f aca="false">Itens!O26</f>
        <v>32</v>
      </c>
      <c r="F30" s="14" t="n">
        <f aca="false">MAX(0,D30-E30)</f>
        <v>0</v>
      </c>
      <c r="G30" s="14" t="n">
        <f aca="false">SUM($F$5:F30)</f>
        <v>397.519</v>
      </c>
      <c r="H30" s="11" t="str">
        <f aca="false">Itens!S26</f>
        <v>sim</v>
      </c>
      <c r="I30" s="49" t="str">
        <f aca="false">IF(AND($D$2&gt;0,G30&gt;=$D$2,G29&lt;$D$2),"← aqui","")</f>
        <v/>
      </c>
    </row>
    <row r="31" customFormat="false" ht="15" hidden="false" customHeight="false" outlineLevel="0" collapsed="false">
      <c r="A31" s="11" t="str">
        <f aca="false">Itens!C27</f>
        <v>Estimativa restante — Atrações</v>
      </c>
      <c r="B31" s="11" t="str">
        <f aca="false">Itens!B27</f>
        <v>atracoes</v>
      </c>
      <c r="C31" s="11" t="str">
        <f aca="false">Itens!H27</f>
        <v>plano</v>
      </c>
      <c r="D31" s="12" t="n">
        <f aca="false">Itens!R27</f>
        <v>8.4</v>
      </c>
      <c r="E31" s="12" t="n">
        <f aca="false">Itens!O27</f>
        <v>8.4</v>
      </c>
      <c r="F31" s="14" t="n">
        <f aca="false">MAX(0,D31-E31)</f>
        <v>0</v>
      </c>
      <c r="G31" s="14" t="n">
        <f aca="false">SUM($F$5:F31)</f>
        <v>397.519</v>
      </c>
      <c r="H31" s="11" t="str">
        <f aca="false">Itens!S27</f>
        <v>sim</v>
      </c>
      <c r="I31" s="49" t="str">
        <f aca="false">IF(AND($D$2&gt;0,G31&gt;=$D$2,G30&lt;$D$2),"← aqui","")</f>
        <v/>
      </c>
    </row>
    <row r="33" customFormat="false" ht="15" hidden="false" customHeight="false" outlineLevel="0" collapsed="false">
      <c r="A33" s="2" t="s">
        <v>348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2026-09-12T20:18:08Z</dcterms:created>
  <dc:creator>openpyxl</dc:creator>
  <dc:description/>
  <dc:language>en-US</dc:language>
  <cp:lastModifiedBy/>
  <dcterms:modified xsi:type="dcterms:W3CDTF">2026-09-12T20:18:10Z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