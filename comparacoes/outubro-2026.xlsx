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ção" sheetId="1" state="visible" r:id="rId3"/>
    <sheet name="S_italia_outubro_2026" sheetId="2" state="visible" r:id="rId4"/>
    <sheet name="P_italia_outubro_2026" sheetId="3" state="visible" r:id="rId5"/>
    <sheet name="I_italia_outubro_2026" sheetId="4" state="visible" r:id="rId6"/>
    <sheet name="S_paris_outubro_2026" sheetId="5" state="visible" r:id="rId7"/>
    <sheet name="P_paris_outubro_2026" sheetId="6" state="visible" r:id="rId8"/>
    <sheet name="I_paris_outubro_2026" sheetId="7" state="visible" r:id="rId9"/>
  </sheets>
  <definedNames>
    <definedName function="false" hidden="true" localSheetId="3" name="_xlnm._FilterDatabase" vbProcedure="false">I_italia_outubro_2026!$A$1:$X$34</definedName>
    <definedName function="false" hidden="true" localSheetId="6" name="_xlnm._FilterDatabase" vbProcedure="false">I_paris_outubro_2026!$A$1:$X$28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3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24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34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8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17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27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28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</commentList>
</comments>
</file>

<file path=xl/sharedStrings.xml><?xml version="1.0" encoding="utf-8"?>
<sst xmlns="http://schemas.openxmlformats.org/spreadsheetml/2006/main" count="834" uniqueCount="340">
  <si>
    <t xml:space="preserve">Comparação: outubro-2026</t>
  </si>
  <si>
    <t xml:space="preserve">Colunas = viagens. Tudo lê das abas P_/I_/S_ de cada viagem; mude um preço ou uma opção lá e a comparação refaz.</t>
  </si>
  <si>
    <t xml:space="preserve">Viagem</t>
  </si>
  <si>
    <t xml:space="preserve">Roma &amp; Florença — Outubro 2026</t>
  </si>
  <si>
    <t xml:space="preserve">Paris &amp; Disneyland — Outubro 2026</t>
  </si>
  <si>
    <t xml:space="preserve">Δ última − primeira</t>
  </si>
  <si>
    <t xml:space="preserve">Início</t>
  </si>
  <si>
    <t xml:space="preserve">Fim</t>
  </si>
  <si>
    <t xml:space="preserve">Noites</t>
  </si>
  <si>
    <t xml:space="preserve">Dias</t>
  </si>
  <si>
    <t xml:space="preserve">Pessoas</t>
  </si>
  <si>
    <t xml:space="preserve">Escolhido ★, por categoria (opção marcada em cada item)</t>
  </si>
  <si>
    <t xml:space="preserve">Voos</t>
  </si>
  <si>
    <t xml:space="preserve">Hospedagem</t>
  </si>
  <si>
    <t xml:space="preserve">Taxa de turismo</t>
  </si>
  <si>
    <t xml:space="preserve">Alimentação</t>
  </si>
  <si>
    <t xml:space="preserve">Transporte local</t>
  </si>
  <si>
    <t xml:space="preserve">Atrações</t>
  </si>
  <si>
    <t xml:space="preserve">Extras</t>
  </si>
  <si>
    <t xml:space="preserve">Total escolhido</t>
  </si>
  <si>
    <t xml:space="preserve">Reserva para imprevistos</t>
  </si>
  <si>
    <t xml:space="preserve">Total com reserva</t>
  </si>
  <si>
    <t xml:space="preserve">Tudo econômico (com reserva)</t>
  </si>
  <si>
    <t xml:space="preserve">Plano (com reserva)</t>
  </si>
  <si>
    <t xml:space="preserve">Tudo upgrade (com reserva)</t>
  </si>
  <si>
    <t xml:space="preserve">Para comparar viagens de tamanhos diferentes</t>
  </si>
  <si>
    <t xml:space="preserve">Por pessoa</t>
  </si>
  <si>
    <t xml:space="preserve">Por dia (grupo)</t>
  </si>
  <si>
    <t xml:space="preserve">Por pessoa por dia</t>
  </si>
  <si>
    <t xml:space="preserve">Por noite de hospedagem</t>
  </si>
  <si>
    <t xml:space="preserve">Voos como % do total</t>
  </si>
  <si>
    <t xml:space="preserve">Teto do grupo</t>
  </si>
  <si>
    <t xml:space="preserve">Folga contra o teto</t>
  </si>
  <si>
    <t xml:space="preserve">Veredito</t>
  </si>
  <si>
    <t xml:space="preserve">Mais barata no total:</t>
  </si>
  <si>
    <t xml:space="preserve">Mais barata por pessoa por dia:</t>
  </si>
  <si>
    <t xml:space="preserve">Por pessoa por dia é a linha justa quando as viagens têm durações diferentes: uma viagem curta e cara pode custar menos no total e mais por dia.</t>
  </si>
  <si>
    <t xml:space="preserve">Δ compara a última coluna com a primeira. Com três ou mais viagens, leia as colunas lado a lado.</t>
  </si>
  <si>
    <t xml:space="preserve">Para testar uma hipótese (outro hotel, upgrade num ingresso), troque a coluna Opção ▼ na aba I_ da viagem: a linha Escolhido refaz.</t>
  </si>
  <si>
    <t xml:space="preserve">17 → 24 de outubro · casal · Roma antiga, Vaticano, Uffizi e muita trattoria, com folga.</t>
  </si>
  <si>
    <t xml:space="preserve">Período</t>
  </si>
  <si>
    <t xml:space="preserve">Pessoas · noites · dias</t>
  </si>
  <si>
    <t xml:space="preserve">Categoria</t>
  </si>
  <si>
    <t xml:space="preserve">Tudo econômico</t>
  </si>
  <si>
    <t xml:space="preserve">Plano</t>
  </si>
  <si>
    <t xml:space="preserve">Escolhido ★</t>
  </si>
  <si>
    <t xml:space="preserve">Tudo upgrade</t>
  </si>
  <si>
    <t xml:space="preserve">Real</t>
  </si>
  <si>
    <t xml:space="preserve">Real − Escolhido</t>
  </si>
  <si>
    <t xml:space="preserve">Intocável</t>
  </si>
  <si>
    <t xml:space="preserve">Total previsto</t>
  </si>
  <si>
    <t xml:space="preserve">Gasto em solo (sem voos)</t>
  </si>
  <si>
    <t xml:space="preserve">Alimentação / gasto em solo</t>
  </si>
  <si>
    <t xml:space="preserve">meta 15–20%</t>
  </si>
  <si>
    <t xml:space="preserve">Uso do teto</t>
  </si>
  <si>
    <t xml:space="preserve">Itens em upgrade / econômico</t>
  </si>
  <si>
    <t xml:space="preserve">Como ler</t>
  </si>
  <si>
    <t xml:space="preserve">Escolhido ★ é o seu cenário: soma a opção marcada em cada linha da aba Itens (coluna Opção ▼). Tudo econômico e Tudo upgrade são os dois extremos.</t>
  </si>
  <si>
    <t xml:space="preserve">Plano = o roteiro como foi pesquisado. Real soma o que você lançar na aba Real durante a viagem; Real − Escolhido mostra onde estourou.</t>
  </si>
  <si>
    <t xml:space="preserve">Linhas rosa são intocáveis: a razão de ser da viagem. Cortar ali é planejar outra viagem.</t>
  </si>
  <si>
    <t xml:space="preserve">Nada aqui é digitado: tudo vem de Itens, Parâmetros e Real. Para mudar um número, mude lá.</t>
  </si>
  <si>
    <t xml:space="preserve">Premissas da viagem. Azul = entrada; amarelo = o que mais mexe no total.</t>
  </si>
  <si>
    <t xml:space="preserve">Slug</t>
  </si>
  <si>
    <t xml:space="preserve">italia-outubro-2026</t>
  </si>
  <si>
    <t xml:space="preserve">fórmula</t>
  </si>
  <si>
    <t xml:space="preserve">Dias de viagem</t>
  </si>
  <si>
    <t xml:space="preserve">Moeda de casa</t>
  </si>
  <si>
    <t xml:space="preserve">EUR</t>
  </si>
  <si>
    <t xml:space="preserve">Teto informado</t>
  </si>
  <si>
    <t xml:space="preserve">Teto é por</t>
  </si>
  <si>
    <t xml:space="preserve">total</t>
  </si>
  <si>
    <t xml:space="preserve">total | pessoa</t>
  </si>
  <si>
    <t xml:space="preserve">Reserva para imprevistos (%)</t>
  </si>
  <si>
    <t xml:space="preserve">sobre o total escolhido</t>
  </si>
  <si>
    <t xml:space="preserve">Margem do cartão fora do euro</t>
  </si>
  <si>
    <t xml:space="preserve">0% num Revolut/Wise; 1–3% em banco tradicional</t>
  </si>
  <si>
    <t xml:space="preserve">Opção padrão dos itens</t>
  </si>
  <si>
    <t xml:space="preserve">plano</t>
  </si>
  <si>
    <t xml:space="preserve">a coluna Opção da aba Itens decide item a item</t>
  </si>
  <si>
    <t xml:space="preserve">Pesquisa de</t>
  </si>
  <si>
    <t xml:space="preserve">Status</t>
  </si>
  <si>
    <t xml:space="preserve">arquivado</t>
  </si>
  <si>
    <t xml:space="preserve">Câmbio (EUR por 1 unidade da moeda)</t>
  </si>
  <si>
    <t xml:space="preserve">Moeda</t>
  </si>
  <si>
    <t xml:space="preserve">EUR por 1</t>
  </si>
  <si>
    <t xml:space="preserve">Data</t>
  </si>
  <si>
    <t xml:space="preserve">Fonte</t>
  </si>
  <si>
    <t xml:space="preserve">moeda de casa</t>
  </si>
  <si>
    <t xml:space="preserve">Categorias</t>
  </si>
  <si>
    <t xml:space="preserve">Fator econômico: preço que sobra na opção econômica quando o item não tem uma explícita (0,8 = corta 20%). Intocável força 1.</t>
  </si>
  <si>
    <t xml:space="preserve">ID</t>
  </si>
  <si>
    <t xml:space="preserve">Nome</t>
  </si>
  <si>
    <t xml:space="preserve">Fator econômico</t>
  </si>
  <si>
    <t xml:space="preserve">De onde veio o número</t>
  </si>
  <si>
    <t xml:space="preserve">voos</t>
  </si>
  <si>
    <t xml:space="preserve">não</t>
  </si>
  <si>
    <t xml:space="preserve">Ryanair OPO→FCO e PSA→OPO para 2, cotado a 5 semanas com uma mala de 10 kg cada. Econômico: só bagagem de mão.</t>
  </si>
  <si>
    <t xml:space="preserve">hospedagem</t>
  </si>
  <si>
    <t xml:space="preserve">4 noites B&amp;B em Monti (≈ €120) + 3 em Oltrarno (≈ €135). Econômico: quarto em apartamento a €100/€115.</t>
  </si>
  <si>
    <t xml:space="preserve">taxa-turismo</t>
  </si>
  <si>
    <t xml:space="preserve">Roma €5 e Florença €6 por pessoa por noite, no check-in.</t>
  </si>
  <si>
    <t xml:space="preserve">alimentacao</t>
  </si>
  <si>
    <t xml:space="preserve">sim</t>
  </si>
  <si>
    <t xml:space="preserve">€65 por dia para o casal: bar de manhã, mercado ao meio-dia, trattoria à noite. Comer bem é o motivo da viagem — não corta.</t>
  </si>
  <si>
    <t xml:space="preserve">transporte-local</t>
  </si>
  <si>
    <t xml:space="preserve">FL1 do aeroporto, ATAC, Roma→Florença antecipado, Florença→Pisa. Econômico: Italo Low Cost.</t>
  </si>
  <si>
    <t xml:space="preserve">atracoes</t>
  </si>
  <si>
    <t xml:space="preserve">Coliseu, Vaticano, Uffizi, Accademia, Pantheon para 2. Econômico: Uffizi no ingresso da tarde.</t>
  </si>
  <si>
    <t xml:space="preserve">extras</t>
  </si>
  <si>
    <t xml:space="preserve">Extras e compras</t>
  </si>
  <si>
    <t xml:space="preserve">Teto assumido — diga o seu. Pompeia, se entrar, são +€130 aqui.</t>
  </si>
  <si>
    <t xml:space="preserve">Item</t>
  </si>
  <si>
    <t xml:space="preserve">Quando</t>
  </si>
  <si>
    <t xml:space="preserve">Qtd</t>
  </si>
  <si>
    <t xml:space="preserve">Unidade</t>
  </si>
  <si>
    <t xml:space="preserve">Opção ▼</t>
  </si>
  <si>
    <t xml:space="preserve">Preço econômico</t>
  </si>
  <si>
    <t xml:space="preserve">Preço plano</t>
  </si>
  <si>
    <t xml:space="preserve">Preço upgrade</t>
  </si>
  <si>
    <t xml:space="preserve">Preço escolhido</t>
  </si>
  <si>
    <t xml:space="preserve">× (pessoas/noites)</t>
  </si>
  <si>
    <t xml:space="preserve">Câmbio + margem</t>
  </si>
  <si>
    <t xml:space="preserve">Total econômico (EUR)</t>
  </si>
  <si>
    <t xml:space="preserve">Total plano (EUR)</t>
  </si>
  <si>
    <t xml:space="preserve">Total upgrade (EUR)</t>
  </si>
  <si>
    <t xml:space="preserve">Total escolhido (EUR)</t>
  </si>
  <si>
    <t xml:space="preserve">Dia</t>
  </si>
  <si>
    <t xml:space="preserve">Reservar / comprar</t>
  </si>
  <si>
    <t xml:space="preserve">O que é o econômico</t>
  </si>
  <si>
    <t xml:space="preserve">O que é o upgrade</t>
  </si>
  <si>
    <t xml:space="preserve">Fonte / observação</t>
  </si>
  <si>
    <t xml:space="preserve">voo:ida</t>
  </si>
  <si>
    <t xml:space="preserve">Voo OPO → FCO (Ryanair)</t>
  </si>
  <si>
    <t xml:space="preserve">pessoa</t>
  </si>
  <si>
    <t xml:space="preserve">— (preço plano × fator da categoria)</t>
  </si>
  <si>
    <t xml:space="preserve">— (sem upgrade pesquisado)</t>
  </si>
  <si>
    <t xml:space="preserve">status: cotado</t>
  </si>
  <si>
    <t xml:space="preserve">voo:volta</t>
  </si>
  <si>
    <t xml:space="preserve">Voo PSA → OPO (Ryanair)</t>
  </si>
  <si>
    <t xml:space="preserve">hosp:hosp-roma</t>
  </si>
  <si>
    <t xml:space="preserve">B&amp;B em Monti (a escolher)</t>
  </si>
  <si>
    <t xml:space="preserve">noite</t>
  </si>
  <si>
    <t xml:space="preserve">Quinze minutos a pé do Coliseu, metrô Cavour na porta, e bar de bairro para o café. Sem a fila de Termini nem o preço do centro histórico.</t>
  </si>
  <si>
    <t xml:space="preserve">hosp:hosp-florenca</t>
  </si>
  <si>
    <t xml:space="preserve">B&amp;B em Oltrarno / Santo Spirito (a escolher)</t>
  </si>
  <si>
    <t xml:space="preserve">O lado tranquilo do rio: trattoria de bairro na praça, dez minutos a pé dos Uffizi, e o Piazzale Michelangelo subindo a rua.</t>
  </si>
  <si>
    <t xml:space="preserve">taxa:hosp-roma</t>
  </si>
  <si>
    <t xml:space="preserve">Taxa de turismo — Roma</t>
  </si>
  <si>
    <t xml:space="preserve">pessoa-noite</t>
  </si>
  <si>
    <t xml:space="preserve">cobrada no check-in, por pessoa por noite</t>
  </si>
  <si>
    <t xml:space="preserve">taxa:hosp-florenca</t>
  </si>
  <si>
    <t xml:space="preserve">Taxa de turismo — Florença</t>
  </si>
  <si>
    <t xml:space="preserve">dia1:r2</t>
  </si>
  <si>
    <t xml:space="preserve">Almoço tardio em Monti: pizza al taglio</t>
  </si>
  <si>
    <t xml:space="preserve">dia1:r5</t>
  </si>
  <si>
    <t xml:space="preserve">Trattoria em Trastevere: cacio e pepe e carbonara</t>
  </si>
  <si>
    <t xml:space="preserve">Fuja da Piazza di Santa Maria; duas ruas para dentro o preço cai e a comida melhora.</t>
  </si>
  <si>
    <t xml:space="preserve">dia2:r11</t>
  </si>
  <si>
    <t xml:space="preserve">Jantar em Testaccio: trattoria de bairro</t>
  </si>
  <si>
    <t xml:space="preserve">dia2:r8</t>
  </si>
  <si>
    <t xml:space="preserve">Almoço em Monti: trapizzino ou supplì</t>
  </si>
  <si>
    <t xml:space="preserve">dia3:r14</t>
  </si>
  <si>
    <t xml:space="preserve">Almoço em Borgo Pio, longe da fila</t>
  </si>
  <si>
    <t xml:space="preserve">dia3:r16</t>
  </si>
  <si>
    <t xml:space="preserve">Aperitivo e jantar leve no Campo de' Fiori / Jewish Ghetto</t>
  </si>
  <si>
    <t xml:space="preserve">No Ghetto: carciofo alla giudia. Evite as mesas na praça — preço de vitrine.</t>
  </si>
  <si>
    <t xml:space="preserve">dia4:r17</t>
  </si>
  <si>
    <t xml:space="preserve">Mercato di Testaccio: Mordi e Vai (sanduíche de allesso)</t>
  </si>
  <si>
    <t xml:space="preserve">Mercado fecha às 15h e não abre domingo. O box 15 é o Mordi e Vai; fila anda rápido.</t>
  </si>
  <si>
    <t xml:space="preserve">dia4:r20</t>
  </si>
  <si>
    <t xml:space="preserve">Jantar de despedida de Roma: pizza romana fina</t>
  </si>
  <si>
    <t xml:space="preserve">dia5:f3</t>
  </si>
  <si>
    <t xml:space="preserve">Lampredotto ou schiacciata num balcão do Oltrarno</t>
  </si>
  <si>
    <t xml:space="preserve">dia5:f5</t>
  </si>
  <si>
    <t xml:space="preserve">Trattoria na Piazza Santo Spirito: ribollita, pappa al pomodoro</t>
  </si>
  <si>
    <t xml:space="preserve">A praça fica viva à noite; sente do lado da igreja.</t>
  </si>
  <si>
    <t xml:space="preserve">dia6:f11</t>
  </si>
  <si>
    <t xml:space="preserve">Jantar em San Frediano</t>
  </si>
  <si>
    <t xml:space="preserve">dia6:f8</t>
  </si>
  <si>
    <t xml:space="preserve">Mercato Centrale (andar de cima) ou All'Antico Vinaio</t>
  </si>
  <si>
    <t xml:space="preserve">dia7:f14</t>
  </si>
  <si>
    <t xml:space="preserve">Mercato di Sant'Ambrogio: almoço no balcão</t>
  </si>
  <si>
    <t xml:space="preserve">O mercado dos florentinos, sem turista. Fecha às 14h.</t>
  </si>
  <si>
    <t xml:space="preserve">dia7:f16</t>
  </si>
  <si>
    <t xml:space="preserve">Jantar de despedida: bistecca alla fiorentina para dois</t>
  </si>
  <si>
    <t xml:space="preserve">Pede-se por peso, 1 kg para dois. É o gasto de comida que vale a viagem.</t>
  </si>
  <si>
    <t xml:space="preserve">dia8:f17</t>
  </si>
  <si>
    <t xml:space="preserve">Café da manhã longo na Piazza Santo Spirito</t>
  </si>
  <si>
    <t xml:space="preserve">est:alimentacao</t>
  </si>
  <si>
    <t xml:space="preserve">Ajuste — Alimentação (itens somam mais que o previsto)</t>
  </si>
  <si>
    <t xml:space="preserve">est:transporte-local</t>
  </si>
  <si>
    <t xml:space="preserve">Estimativa restante — Transporte local</t>
  </si>
  <si>
    <t xml:space="preserve">transp:atac</t>
  </si>
  <si>
    <t xml:space="preserve">Bilhetes ATAC (metrô/ônibus de Roma), ≈ 10 viagens</t>
  </si>
  <si>
    <t xml:space="preserve">Roma se faz a pé; o metrô é para Vaticano e Testaccio. Pague por aproximação do cartão na catraca, sem comprar bilhete.</t>
  </si>
  <si>
    <t xml:space="preserve">transp:fl1</t>
  </si>
  <si>
    <t xml:space="preserve">Fiumicino → Roma: trem regional FL1 até Trastevere/Ostiense + metrô</t>
  </si>
  <si>
    <t xml:space="preserve">O Leonardo Express (€14) só compensa se for direto a Termini. Para Monti, FL1 + metrô B leva o mesmo tempo por metade.</t>
  </si>
  <si>
    <t xml:space="preserve">transp:frecciarossa</t>
  </si>
  <si>
    <t xml:space="preserve">Roma → Florença, Italo ou Frecciarossa</t>
  </si>
  <si>
    <t xml:space="preserve">1h30. Comprar agora no site da operadora; Termini → SMN, as duas centrais.</t>
  </si>
  <si>
    <t xml:space="preserve">transp:pisa</t>
  </si>
  <si>
    <t xml:space="preserve">Florença SMN → Pisa Aeroporto (regional + PisaMover)</t>
  </si>
  <si>
    <t xml:space="preserve">≈ 1h15 no total. Sair de Florença 3h30 antes do voo.</t>
  </si>
  <si>
    <t xml:space="preserve">dia1:r3</t>
  </si>
  <si>
    <t xml:space="preserve">Pantheon (entrada €5) e Piazza Navona</t>
  </si>
  <si>
    <t xml:space="preserve">Às 16h30 a luz entra pelo óculo na diagonal; a fila é curta no fim da tarde.</t>
  </si>
  <si>
    <t xml:space="preserve">dia2:r6</t>
  </si>
  <si>
    <t xml:space="preserve">Coliseu — entrada 8h30</t>
  </si>
  <si>
    <t xml:space="preserve">ticketing.colosseo.it</t>
  </si>
  <si>
    <t xml:space="preserve">O ingresso vale 24h e inclui Fórum e Palatino. Chegue 20 min antes; o nome no ingresso tem que bater com o passaporte.</t>
  </si>
  <si>
    <t xml:space="preserve">dia3:r12</t>
  </si>
  <si>
    <t xml:space="preserve">Museus Vaticanos e Capela Sistina — entrada 8h</t>
  </si>
  <si>
    <t xml:space="preserve">museivaticani.va</t>
  </si>
  <si>
    <t xml:space="preserve">Última entrada às 18h. Da Sistina, a porta dos grupos à direita dá direto na Basílica, sem refazer a fila de fora.</t>
  </si>
  <si>
    <t xml:space="preserve">dia6:f6</t>
  </si>
  <si>
    <t xml:space="preserve">Galleria degli Uffizi — entrada 8h15</t>
  </si>
  <si>
    <t xml:space="preserve">uffizi.it</t>
  </si>
  <si>
    <t xml:space="preserve">Última entrada 17h30. Suba direto ao segundo andar (salas 10–14, Botticelli) e desça depois.</t>
  </si>
  <si>
    <t xml:space="preserve">dia7:f12</t>
  </si>
  <si>
    <t xml:space="preserve">Galleria dell'Accademia — o David</t>
  </si>
  <si>
    <t xml:space="preserve">Fecha segunda. A sala do David fica no fundo à esquerda; vá direto e depois volte aos Prisioneiros.</t>
  </si>
  <si>
    <t xml:space="preserve">est:extras</t>
  </si>
  <si>
    <t xml:space="preserve">Estimativa restante — Extras e compras</t>
  </si>
  <si>
    <t xml:space="preserve">Como usar</t>
  </si>
  <si>
    <t xml:space="preserve">Opção ▼ (coluna H, fundo creme) escolhe o que entra no total: econômico, plano ou upgrade. É o único lugar que você precisa mexer para montar o seu cenário.</t>
  </si>
  <si>
    <t xml:space="preserve">As três colunas de preço são por unidade (por pessoa, por noite ou total, conforme a Unidade). Azul = pesquisado; preto = derivado do plano.</t>
  </si>
  <si>
    <t xml:space="preserve">Preço econômico sem número explícito = preço do plano × fator da categoria (aba Parâmetros). Preço upgrade sem número = igual ao plano.</t>
  </si>
  <si>
    <t xml:space="preserve">Reservar / comprar (coluna U) abre o site oficial ou o comparador. Compre pelo link; a taxa de serviço de agregador entra no último passo.</t>
  </si>
  <si>
    <t xml:space="preserve">Linhas em itálico são estimativas da categoria: ao detalhar um item novo, reduza a estimativa para não contar duas vezes.</t>
  </si>
  <si>
    <t xml:space="preserve">Para acrescentar um item: copie uma linha inteira (as fórmulas de L a S vêm junto) e troque ID, categoria, preços e link.</t>
  </si>
  <si>
    <t xml:space="preserve">7 → 11 de outubro · casal · Louvre, Orsay, bouillons, e dois dias de Halloween na Disney.</t>
  </si>
  <si>
    <t xml:space="preserve">paris-outubro-2026</t>
  </si>
  <si>
    <t xml:space="preserve">planejando</t>
  </si>
  <si>
    <t xml:space="preserve">Porto ⇄ Orly na Transavia para 2, só bagagem de mão (≈ €100 pp comprando agora; média de outubro €114). Econômico: promoção a €80 pp. Beauvais não entra: o ônibus come a diferença.</t>
  </si>
  <si>
    <t xml:space="preserve">3 noites no ibis Bastille Opéra (≈ €130) + 1 noite no B&amp;B parceiro da Disney (≈ €120). Econômico: ibis a €110 e B&amp;B a €90.</t>
  </si>
  <si>
    <t xml:space="preserve">Paris €3,25 pp/noite × 3 + Magny-le-Hongre ≈ €1,50 × 1, para 2.</t>
  </si>
  <si>
    <t xml:space="preserve">€35 pp nos dias de Paris (bouillon, padaria, mercado), €45 pp nos dias de Disney. Comer bem é o motivo — não corta.</t>
  </si>
  <si>
    <t xml:space="preserve">Orly €14 × 2 trechos × 2 = €56, RER A Disney €2,55 × 2 × 2 = €10, ≈ 12 bilhetes de metrô × €2,55 × 2 = €62. Econômico: 8 bilhetes de metrô.</t>
  </si>
  <si>
    <t xml:space="preserve">Disney 2 dias/2 parques ≈ €154 pp (faixa "low", por data), Louvre €22 (residente), Orsay €16, Orangerie €12,50, Sainte-Chapelle €13, Eiffel escada €14,80 — para 2. Econômico: Disney 1 dia/2 parques + 1 dia/1 parque.</t>
  </si>
  <si>
    <t xml:space="preserve">Teto assumido — a Disney puxa. Diga o seu.</t>
  </si>
  <si>
    <t xml:space="preserve">Voo OPO → ORY (Transavia)</t>
  </si>
  <si>
    <t xml:space="preserve">transavia.com</t>
  </si>
  <si>
    <t xml:space="preserve">Ryanair para Beauvais (≈ €31 o trecho) + ônibus €17,90: mais barato no papel, 1h15 a mais por trecho</t>
  </si>
  <si>
    <t xml:space="preserve">TAP para Orly, horário melhor e bagagem despachada (≈ €82 o trecho)</t>
  </si>
  <si>
    <t xml:space="preserve">Voo ORY → OPO (Transavia)</t>
  </si>
  <si>
    <t xml:space="preserve">hosp:hosp-paris</t>
  </si>
  <si>
    <t xml:space="preserve">ibis Paris Bastille Opéra 11ème</t>
  </si>
  <si>
    <t xml:space="preserve">all.accor.com</t>
  </si>
  <si>
    <t xml:space="preserve">ibis budget / 2★ no 11º–12º a ≈ €105 a noite (3 noites)</t>
  </si>
  <si>
    <t xml:space="preserve">Villa Beaumarchais 4★ no Marais a ≈ €175 a noite (3 noites); €94 "desde" no eDreams, confira o total no checkout</t>
  </si>
  <si>
    <t xml:space="preserve">Três noites a ≈ €130 (a quinta é na Disney). Bastille a 7 min, RER A na Gare de Lyon direto para Chessy, Marais a pé, bouillons a dez minutos.</t>
  </si>
  <si>
    <t xml:space="preserve">hosp:hosp-disney</t>
  </si>
  <si>
    <t xml:space="preserve">B&amp;B Hôtel près de Disneyland Paris (Magny-le-Hongre)</t>
  </si>
  <si>
    <t xml:space="preserve">hotel-bb.com</t>
  </si>
  <si>
    <t xml:space="preserve">B&amp;B Marne-la-Vallée Val d'Europe (Serris), sem ônibus para o parque: RER 1 estação + a pé</t>
  </si>
  <si>
    <t xml:space="preserve">Hotel Disney (Santa Fe / Cheyenne) com Extra Magic Time às 8h30 — pacote exige 2 noites desde 31/3/2026</t>
  </si>
  <si>
    <t xml:space="preserve">Parceiro oficial: ônibus grátis a cada 20 min, café incluído, metade do preço de um hotel Disney. O que se perde é a Extra Magic Time das 8h30.</t>
  </si>
  <si>
    <t xml:space="preserve">taxa:hosp-paris</t>
  </si>
  <si>
    <t xml:space="preserve">Taxa de turismo — Paris</t>
  </si>
  <si>
    <t xml:space="preserve">taxa:hosp-disney</t>
  </si>
  <si>
    <t xml:space="preserve">Taxa de turismo — Disneyland Paris</t>
  </si>
  <si>
    <t xml:space="preserve">est:taxa-turismo</t>
  </si>
  <si>
    <t xml:space="preserve">Estimativa restante — Taxa de turismo</t>
  </si>
  <si>
    <t xml:space="preserve">dia1:p2</t>
  </si>
  <si>
    <t xml:space="preserve">Almoço de padaria no Marais: fórmula sanduíche + doce</t>
  </si>
  <si>
    <t xml:space="preserve">padaria / mercado</t>
  </si>
  <si>
    <t xml:space="preserve">restaurante com reserva e vinho</t>
  </si>
  <si>
    <t xml:space="preserve">dia1:p6</t>
  </si>
  <si>
    <t xml:space="preserve">Bouillon Chartier: menu completo por menos de €20</t>
  </si>
  <si>
    <t xml:space="preserve">bouillon-chartier.com</t>
  </si>
  <si>
    <t xml:space="preserve">fórmula de padaria</t>
  </si>
  <si>
    <t xml:space="preserve">bistrô no Marais com vinho</t>
  </si>
  <si>
    <t xml:space="preserve">Sem reserva, fila anda rápido. Sopa de cebola, steak-frites, crème caramel.</t>
  </si>
  <si>
    <t xml:space="preserve">dia2:d3</t>
  </si>
  <si>
    <t xml:space="preserve">Almoço no parque</t>
  </si>
  <si>
    <t xml:space="preserve">dia3:d10</t>
  </si>
  <si>
    <t xml:space="preserve">Jantar leve perto do hotel</t>
  </si>
  <si>
    <t xml:space="preserve">dia3:d7</t>
  </si>
  <si>
    <t xml:space="preserve">dia4:p12</t>
  </si>
  <si>
    <t xml:space="preserve">Jantar em bistrô do 7e ou Bouillon Pigalle</t>
  </si>
  <si>
    <t xml:space="preserve">dia4:p8</t>
  </si>
  <si>
    <t xml:space="preserve">Piquenique nas Tulherias ou padaria da Rue de Rivoli</t>
  </si>
  <si>
    <t xml:space="preserve">dia5:p14</t>
  </si>
  <si>
    <t xml:space="preserve">Marché d'Aligre: queijo, ostras e um copo no balcão</t>
  </si>
  <si>
    <t xml:space="preserve">marchedaligre.fr</t>
  </si>
  <si>
    <t xml:space="preserve">sanduíche de padaria</t>
  </si>
  <si>
    <t xml:space="preserve">ostras e vinho no mercado</t>
  </si>
  <si>
    <t xml:space="preserve">O mercado mais barato de Paris, e é domingo de manhã que ele está inteiro. Fecha às 13h30.</t>
  </si>
  <si>
    <t xml:space="preserve">Estimativa restante — Alimentação</t>
  </si>
  <si>
    <t xml:space="preserve">transp:metro</t>
  </si>
  <si>
    <t xml:space="preserve">Bilhetes de metrô, ≈ 12 viagens</t>
  </si>
  <si>
    <t xml:space="preserve">bonjour-ratp.fr</t>
  </si>
  <si>
    <t xml:space="preserve">andar mais e usar 8 bilhetes em vez de 12</t>
  </si>
  <si>
    <t xml:space="preserve">Navigo Jour €12,30 nos 3 dias de Paris (só compensa com 5+ viagens no dia)</t>
  </si>
  <si>
    <t xml:space="preserve">Navigo Semaine só vale de segunda a domingo — não serve para quarta a domingo. Passe de dia (€12,30) só compensa com 5+ viagens.</t>
  </si>
  <si>
    <t xml:space="preserve">transp:orly</t>
  </si>
  <si>
    <t xml:space="preserve">Orly ⇄ Paris pelo metrô 14 (bilhete aeroporto €14)</t>
  </si>
  <si>
    <t xml:space="preserve">—</t>
  </si>
  <si>
    <t xml:space="preserve">táxi tarifa fixa Orly ⇄ margem direita €44 por trecho, dividido por 2</t>
  </si>
  <si>
    <t xml:space="preserve">25 min até Châtelet. O bilhete de €2,55 não vale para aeroporto.</t>
  </si>
  <si>
    <t xml:space="preserve">transp:rer-disney</t>
  </si>
  <si>
    <t xml:space="preserve">RER A Paris ⇄ Marne-la-Vallée–Chessy</t>
  </si>
  <si>
    <t xml:space="preserve">Bilhete único de €2,55 vale até a Disney desde 2025. 40 min de Nation; a estação sai na porta do parque.</t>
  </si>
  <si>
    <t xml:space="preserve">dia1:p3</t>
  </si>
  <si>
    <t xml:space="preserve">Sainte-Chapelle — com hora marcada</t>
  </si>
  <si>
    <t xml:space="preserve">sainte-chapelle.fr</t>
  </si>
  <si>
    <t xml:space="preserve">só o exterior + Notre-Dame (grátis)</t>
  </si>
  <si>
    <t xml:space="preserve">bilhete combinado Sainte-Chapelle + Conciergerie</t>
  </si>
  <si>
    <t xml:space="preserve">Os vitrais pedem sol: se a tarde estiver cinza, troque pela manhã de domingo.</t>
  </si>
  <si>
    <t xml:space="preserve">dia2:d2</t>
  </si>
  <si>
    <t xml:space="preserve">Disneyland Park — abertura às 9h30</t>
  </si>
  <si>
    <t xml:space="preserve">disneylandparis.com</t>
  </si>
  <si>
    <t xml:space="preserve">faixa "eco" — trocar para 30/9–1/10 se o preço por data for menor</t>
  </si>
  <si>
    <t xml:space="preserve">+ Disney Premier Access One (3 atrações) ≈ €45 pp</t>
  </si>
  <si>
    <t xml:space="preserve">Ingresso de 2 dias, com data. Big Thunder Mountain e Phantom Manor primeiro; Halloween é no Frontierland.</t>
  </si>
  <si>
    <t xml:space="preserve">dia4:p11</t>
  </si>
  <si>
    <t xml:space="preserve">Torre Eiffel pela escada, até o 2º andar</t>
  </si>
  <si>
    <t xml:space="preserve">toureiffel.paris</t>
  </si>
  <si>
    <t xml:space="preserve">ver de baixo, do Trocadéro, na hora da cintilação</t>
  </si>
  <si>
    <t xml:space="preserve">elevador até o topo</t>
  </si>
  <si>
    <t xml:space="preserve">674 degraus, 20 minutos. Pôr do sol ≈ 19h15. Depois de escurecer a torre cintila 5 minutos a cada hora cheia — do Trocadéro é a melhor vista</t>
  </si>
  <si>
    <t xml:space="preserve">dia4:p7</t>
  </si>
  <si>
    <t xml:space="preserve">Louvre — entrada 9h, tarifa residente EEE</t>
  </si>
  <si>
    <t xml:space="preserve">louvre.fr</t>
  </si>
  <si>
    <t xml:space="preserve">primeira sexta do mês 18h–21h é grátis (não cai na viagem)</t>
  </si>
  <si>
    <t xml:space="preserve">visita guiada oficial 1h30</t>
  </si>
  <si>
    <t xml:space="preserve">Entre pela Porte des Lions se estiver aberta: fila menor. Ala Denon primeiro (Vitória de Samotrácia, Gioconda), depois Sully.</t>
  </si>
  <si>
    <t xml:space="preserve">dia4:p9</t>
  </si>
  <si>
    <t xml:space="preserve">Orangerie: as Ninfeias de Monet</t>
  </si>
  <si>
    <t xml:space="preserve">musee-orangerie.fr</t>
  </si>
  <si>
    <t xml:space="preserve">bilhete combinado Orsay + Orangerie</t>
  </si>
  <si>
    <t xml:space="preserve">Pequeno; uma hora e meia sobra. Fecha terça, como o Louvre.</t>
  </si>
  <si>
    <t xml:space="preserve">dia5:p13</t>
  </si>
  <si>
    <t xml:space="preserve">Musée d'Orsay — entrada 9h30</t>
  </si>
  <si>
    <t xml:space="preserve">musee-orsay.fr</t>
  </si>
  <si>
    <t xml:space="preserve">primeiro domingo do mês grátis (só na janela 30/9–4/10)</t>
  </si>
  <si>
    <t xml:space="preserve">Impressionistas no 5º andar; suba direto e desça depois. O relógio da fachada dá a foto.</t>
  </si>
  <si>
    <t xml:space="preserve">est:atracoes</t>
  </si>
  <si>
    <t xml:space="preserve">Estimativa restante — Atrações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</si>
</sst>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"/>
    <numFmt numFmtId="167" formatCode="&quot;€ &quot;#,##0.00;&quot;-€ &quot;#,##0.00;\-"/>
    <numFmt numFmtId="168" formatCode="0.0%"/>
    <numFmt numFmtId="169" formatCode="&quot;€ &quot;#,##0;&quot;-€ &quot;#,##0;\-"/>
    <numFmt numFmtId="170" formatCode="#,##0"/>
    <numFmt numFmtId="171" formatCode="0.000000"/>
    <numFmt numFmtId="172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EF1F7"/>
        <bgColor rgb="FFFDECEC"/>
      </patternFill>
    </fill>
    <fill>
      <patternFill patternType="solid">
        <fgColor rgb="FFFDECEC"/>
        <bgColor rgb="FFEEF1F7"/>
      </patternFill>
    </fill>
    <fill>
      <patternFill patternType="solid">
        <fgColor rgb="FFFFFF00"/>
        <bgColor rgb="FFFFFF00"/>
      </patternFill>
    </fill>
    <fill>
      <patternFill patternType="solid">
        <fgColor rgb="FFFFF6D5"/>
        <bgColor rgb="FFFDEC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6D5"/>
      <rgbColor rgb="FFEEF1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Escolhido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Comparação!B4</c:f>
              <c:strCache>
                <c:ptCount val="1"/>
                <c:pt idx="0">
                  <c:v>Roma &amp; Florença — Outubro 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Comparação!$A$12:$A$18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</c:v>
                </c:pt>
              </c:strCache>
            </c:strRef>
          </c:cat>
          <c:val>
            <c:numRef>
              <c:f>Comparação!$B$5:$B$18</c:f>
              <c:numCache>
                <c:formatCode>dd/mm/yyyy</c:formatCode>
                <c:ptCount val="14"/>
                <c:pt idx="0">
                  <c:v>46312</c:v>
                </c:pt>
                <c:pt idx="1">
                  <c:v>46319</c:v>
                </c:pt>
                <c:pt idx="2">
                  <c:v>7</c:v>
                </c:pt>
                <c:pt idx="3">
                  <c:v>8</c:v>
                </c:pt>
                <c:pt idx="4">
                  <c:v>2</c:v>
                </c:pt>
                <c:pt idx="7">
                  <c:v>340</c:v>
                </c:pt>
                <c:pt idx="8">
                  <c:v>885</c:v>
                </c:pt>
                <c:pt idx="9">
                  <c:v>76</c:v>
                </c:pt>
                <c:pt idx="10">
                  <c:v>520</c:v>
                </c:pt>
                <c:pt idx="11">
                  <c:v>126</c:v>
                </c:pt>
                <c:pt idx="12">
                  <c:v>194</c:v>
                </c:pt>
                <c:pt idx="13">
                  <c:v>100</c:v>
                </c:pt>
              </c:numCache>
            </c:numRef>
          </c:val>
        </c:ser>
        <c:ser>
          <c:idx val="1"/>
          <c:order val="1"/>
          <c:tx>
            <c:strRef>
              <c:f>Comparação!C4</c:f>
              <c:strCache>
                <c:ptCount val="1"/>
                <c:pt idx="0">
                  <c:v>Paris &amp; Disneyland — Outubro 2026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Comparação!$A$12:$A$18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</c:v>
                </c:pt>
              </c:strCache>
            </c:strRef>
          </c:cat>
          <c:val>
            <c:numRef>
              <c:f>Comparação!$C$5:$C$18</c:f>
              <c:numCache>
                <c:formatCode>dd/mm/yyyy</c:formatCode>
                <c:ptCount val="14"/>
                <c:pt idx="0">
                  <c:v>46302</c:v>
                </c:pt>
                <c:pt idx="1">
                  <c:v>46306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7">
                  <c:v>200</c:v>
                </c:pt>
                <c:pt idx="8">
                  <c:v>510</c:v>
                </c:pt>
                <c:pt idx="9">
                  <c:v>23</c:v>
                </c:pt>
                <c:pt idx="10">
                  <c:v>380</c:v>
                </c:pt>
                <c:pt idx="11">
                  <c:v>128</c:v>
                </c:pt>
                <c:pt idx="12">
                  <c:v>465</c:v>
                </c:pt>
                <c:pt idx="13">
                  <c:v>80</c:v>
                </c:pt>
              </c:numCache>
            </c:numRef>
          </c:val>
        </c:ser>
        <c:gapWidth val="150"/>
        <c:overlap val="100"/>
        <c:axId val="91060103"/>
        <c:axId val="55629414"/>
      </c:barChart>
      <c:catAx>
        <c:axId val="9106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29414"/>
        <c:crosses val="autoZero"/>
        <c:auto val="1"/>
        <c:lblAlgn val="ctr"/>
        <c:lblOffset val="100"/>
        <c:noMultiLvlLbl val="0"/>
      </c:catAx>
      <c:valAx>
        <c:axId val="55629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601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 categoria: econômico × plano × escolhido × upgrade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S_italia_outubro_2026!B7</c:f>
              <c:strCache>
                <c:ptCount val="1"/>
                <c:pt idx="0">
                  <c:v>Tudo econômico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S_italia_outubro_2026!$A$8:$A$14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S_italia_outubro_2026!$B$8:$B$14</c:f>
              <c:numCache>
                <c:formatCode>"€ "#,##0.00;"-€ "#,##0.00;\-</c:formatCode>
                <c:ptCount val="7"/>
                <c:pt idx="0">
                  <c:v>240.006</c:v>
                </c:pt>
                <c:pt idx="1">
                  <c:v>744.993</c:v>
                </c:pt>
                <c:pt idx="2">
                  <c:v>76</c:v>
                </c:pt>
                <c:pt idx="3">
                  <c:v>520</c:v>
                </c:pt>
                <c:pt idx="4">
                  <c:v>100.0062</c:v>
                </c:pt>
                <c:pt idx="5">
                  <c:v>194</c:v>
                </c:pt>
                <c:pt idx="6">
                  <c:v>60</c:v>
                </c:pt>
              </c:numCache>
            </c:numRef>
          </c:val>
        </c:ser>
        <c:ser>
          <c:idx val="1"/>
          <c:order val="1"/>
          <c:tx>
            <c:strRef>
              <c:f>S_italia_outubro_2026!C7</c:f>
              <c:strCache>
                <c:ptCount val="1"/>
                <c:pt idx="0">
                  <c:v>Plano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S_italia_outubro_2026!$A$8:$A$14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S_italia_outubro_2026!$C$8:$C$14</c:f>
              <c:numCache>
                <c:formatCode>"€ "#,##0.00;"-€ "#,##0.00;\-</c:formatCode>
                <c:ptCount val="7"/>
                <c:pt idx="0">
                  <c:v>340</c:v>
                </c:pt>
                <c:pt idx="1">
                  <c:v>885</c:v>
                </c:pt>
                <c:pt idx="2">
                  <c:v>76</c:v>
                </c:pt>
                <c:pt idx="3">
                  <c:v>520</c:v>
                </c:pt>
                <c:pt idx="4">
                  <c:v>126</c:v>
                </c:pt>
                <c:pt idx="5">
                  <c:v>194</c:v>
                </c:pt>
                <c:pt idx="6">
                  <c:v>100</c:v>
                </c:pt>
              </c:numCache>
            </c:numRef>
          </c:val>
        </c:ser>
        <c:ser>
          <c:idx val="2"/>
          <c:order val="2"/>
          <c:tx>
            <c:strRef>
              <c:f>S_italia_outubro_2026!D7</c:f>
              <c:strCache>
                <c:ptCount val="1"/>
                <c:pt idx="0">
                  <c:v>Escolhido ★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S_italia_outubro_2026!$A$8:$A$14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S_italia_outubro_2026!$D$8:$D$14</c:f>
              <c:numCache>
                <c:formatCode>"€ "#,##0.00;"-€ "#,##0.00;\-</c:formatCode>
                <c:ptCount val="7"/>
                <c:pt idx="0">
                  <c:v>340</c:v>
                </c:pt>
                <c:pt idx="1">
                  <c:v>885</c:v>
                </c:pt>
                <c:pt idx="2">
                  <c:v>76</c:v>
                </c:pt>
                <c:pt idx="3">
                  <c:v>520</c:v>
                </c:pt>
                <c:pt idx="4">
                  <c:v>126</c:v>
                </c:pt>
                <c:pt idx="5">
                  <c:v>194</c:v>
                </c:pt>
                <c:pt idx="6">
                  <c:v>100</c:v>
                </c:pt>
              </c:numCache>
            </c:numRef>
          </c:val>
        </c:ser>
        <c:ser>
          <c:idx val="3"/>
          <c:order val="3"/>
          <c:tx>
            <c:strRef>
              <c:f>S_italia_outubro_2026!E7</c:f>
              <c:strCache>
                <c:ptCount val="1"/>
                <c:pt idx="0">
                  <c:v>Tudo upgrade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S_italia_outubro_2026!$A$8:$A$14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S_italia_outubro_2026!$E$8:$E$14</c:f>
              <c:numCache>
                <c:formatCode>"€ "#,##0.00;"-€ "#,##0.00;\-</c:formatCode>
                <c:ptCount val="7"/>
                <c:pt idx="0">
                  <c:v>340</c:v>
                </c:pt>
                <c:pt idx="1">
                  <c:v>885</c:v>
                </c:pt>
                <c:pt idx="2">
                  <c:v>76</c:v>
                </c:pt>
                <c:pt idx="3">
                  <c:v>520</c:v>
                </c:pt>
                <c:pt idx="4">
                  <c:v>126</c:v>
                </c:pt>
                <c:pt idx="5">
                  <c:v>194</c:v>
                </c:pt>
                <c:pt idx="6">
                  <c:v>100</c:v>
                </c:pt>
              </c:numCache>
            </c:numRef>
          </c:val>
        </c:ser>
        <c:gapWidth val="150"/>
        <c:overlap val="0"/>
        <c:axId val="44061463"/>
        <c:axId val="17328199"/>
      </c:barChart>
      <c:catAx>
        <c:axId val="44061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28199"/>
        <c:crosses val="autoZero"/>
        <c:auto val="1"/>
        <c:lblAlgn val="ctr"/>
        <c:lblOffset val="100"/>
        <c:noMultiLvlLbl val="0"/>
      </c:catAx>
      <c:valAx>
        <c:axId val="17328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614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 categoria: econômico × plano × escolhido × upgrade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S_paris_outubro_2026!B7</c:f>
              <c:strCache>
                <c:ptCount val="1"/>
                <c:pt idx="0">
                  <c:v>Tudo econômico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S_paris_outubro_2026!$A$8:$A$14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S_paris_outubro_2026!$B$8:$B$14</c:f>
              <c:numCache>
                <c:formatCode>"€ "#,##0.00;"-€ "#,##0.00;\-</c:formatCode>
                <c:ptCount val="7"/>
                <c:pt idx="0">
                  <c:v>160</c:v>
                </c:pt>
                <c:pt idx="1">
                  <c:v>385</c:v>
                </c:pt>
                <c:pt idx="2">
                  <c:v>23</c:v>
                </c:pt>
                <c:pt idx="3">
                  <c:v>262.8</c:v>
                </c:pt>
                <c:pt idx="4">
                  <c:v>104.281</c:v>
                </c:pt>
                <c:pt idx="5">
                  <c:v>413.4</c:v>
                </c:pt>
                <c:pt idx="6">
                  <c:v>40</c:v>
                </c:pt>
              </c:numCache>
            </c:numRef>
          </c:val>
        </c:ser>
        <c:ser>
          <c:idx val="1"/>
          <c:order val="1"/>
          <c:tx>
            <c:strRef>
              <c:f>S_paris_outubro_2026!C7</c:f>
              <c:strCache>
                <c:ptCount val="1"/>
                <c:pt idx="0">
                  <c:v>Plano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S_paris_outubro_2026!$A$8:$A$14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S_paris_outubro_2026!$C$8:$C$14</c:f>
              <c:numCache>
                <c:formatCode>"€ "#,##0.00;"-€ "#,##0.00;\-</c:formatCode>
                <c:ptCount val="7"/>
                <c:pt idx="0">
                  <c:v>200</c:v>
                </c:pt>
                <c:pt idx="1">
                  <c:v>510</c:v>
                </c:pt>
                <c:pt idx="2">
                  <c:v>23</c:v>
                </c:pt>
                <c:pt idx="3">
                  <c:v>380</c:v>
                </c:pt>
                <c:pt idx="4">
                  <c:v>128</c:v>
                </c:pt>
                <c:pt idx="5">
                  <c:v>465</c:v>
                </c:pt>
                <c:pt idx="6">
                  <c:v>80</c:v>
                </c:pt>
              </c:numCache>
            </c:numRef>
          </c:val>
        </c:ser>
        <c:ser>
          <c:idx val="2"/>
          <c:order val="2"/>
          <c:tx>
            <c:strRef>
              <c:f>S_paris_outubro_2026!D7</c:f>
              <c:strCache>
                <c:ptCount val="1"/>
                <c:pt idx="0">
                  <c:v>Escolhido ★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S_paris_outubro_2026!$A$8:$A$14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S_paris_outubro_2026!$D$8:$D$14</c:f>
              <c:numCache>
                <c:formatCode>"€ "#,##0.00;"-€ "#,##0.00;\-</c:formatCode>
                <c:ptCount val="7"/>
                <c:pt idx="0">
                  <c:v>200</c:v>
                </c:pt>
                <c:pt idx="1">
                  <c:v>510</c:v>
                </c:pt>
                <c:pt idx="2">
                  <c:v>23</c:v>
                </c:pt>
                <c:pt idx="3">
                  <c:v>380</c:v>
                </c:pt>
                <c:pt idx="4">
                  <c:v>128</c:v>
                </c:pt>
                <c:pt idx="5">
                  <c:v>465</c:v>
                </c:pt>
                <c:pt idx="6">
                  <c:v>80</c:v>
                </c:pt>
              </c:numCache>
            </c:numRef>
          </c:val>
        </c:ser>
        <c:ser>
          <c:idx val="3"/>
          <c:order val="3"/>
          <c:tx>
            <c:strRef>
              <c:f>S_paris_outubro_2026!E7</c:f>
              <c:strCache>
                <c:ptCount val="1"/>
                <c:pt idx="0">
                  <c:v>Tudo upgrade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S_paris_outubro_2026!$A$8:$A$14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S_paris_outubro_2026!$E$8:$E$14</c:f>
              <c:numCache>
                <c:formatCode>"€ "#,##0.00;"-€ "#,##0.00;\-</c:formatCode>
                <c:ptCount val="7"/>
                <c:pt idx="0">
                  <c:v>328</c:v>
                </c:pt>
                <c:pt idx="1">
                  <c:v>785</c:v>
                </c:pt>
                <c:pt idx="2">
                  <c:v>23</c:v>
                </c:pt>
                <c:pt idx="3">
                  <c:v>606.4</c:v>
                </c:pt>
                <c:pt idx="4">
                  <c:v>264</c:v>
                </c:pt>
                <c:pt idx="5">
                  <c:v>691.8</c:v>
                </c:pt>
                <c:pt idx="6">
                  <c:v>80</c:v>
                </c:pt>
              </c:numCache>
            </c:numRef>
          </c:val>
        </c:ser>
        <c:gapWidth val="150"/>
        <c:overlap val="0"/>
        <c:axId val="64734777"/>
        <c:axId val="47545718"/>
      </c:barChart>
      <c:catAx>
        <c:axId val="64734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45718"/>
        <c:crosses val="autoZero"/>
        <c:auto val="1"/>
        <c:lblAlgn val="ctr"/>
        <c:lblOffset val="100"/>
        <c:noMultiLvlLbl val="0"/>
      </c:catAx>
      <c:valAx>
        <c:axId val="47545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34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408960</xdr:colOff>
      <xdr:row>18</xdr:row>
      <xdr:rowOff>162000</xdr:rowOff>
    </xdr:to>
    <xdr:graphicFrame>
      <xdr:nvGraphicFramePr>
        <xdr:cNvPr id="0" name="Chart 1"/>
        <xdr:cNvGraphicFramePr/>
      </xdr:nvGraphicFramePr>
      <xdr:xfrm>
        <a:off x="103600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20</xdr:col>
      <xdr:colOff>292680</xdr:colOff>
      <xdr:row>16</xdr:row>
      <xdr:rowOff>182880</xdr:rowOff>
    </xdr:to>
    <xdr:graphicFrame>
      <xdr:nvGraphicFramePr>
        <xdr:cNvPr id="1" name="Chart 1"/>
        <xdr:cNvGraphicFramePr/>
      </xdr:nvGraphicFramePr>
      <xdr:xfrm>
        <a:off x="13382640" y="5716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20</xdr:col>
      <xdr:colOff>292680</xdr:colOff>
      <xdr:row>16</xdr:row>
      <xdr:rowOff>182880</xdr:rowOff>
    </xdr:to>
    <xdr:graphicFrame>
      <xdr:nvGraphicFramePr>
        <xdr:cNvPr id="2" name="Chart 1"/>
        <xdr:cNvGraphicFramePr/>
      </xdr:nvGraphicFramePr>
      <xdr:xfrm>
        <a:off x="13382640" y="5716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ticketing.colosseo.it/" TargetMode="External"/><Relationship Id="rId3" Type="http://schemas.openxmlformats.org/officeDocument/2006/relationships/hyperlink" Target="https://www.museivaticani.va/" TargetMode="External"/><Relationship Id="rId4" Type="http://schemas.openxmlformats.org/officeDocument/2006/relationships/hyperlink" Target="https://www.uffizi.it/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transavia.com/pt-PT/" TargetMode="External"/><Relationship Id="rId3" Type="http://schemas.openxmlformats.org/officeDocument/2006/relationships/hyperlink" Target="https://www.transavia.com/pt-PT/" TargetMode="External"/><Relationship Id="rId4" Type="http://schemas.openxmlformats.org/officeDocument/2006/relationships/hyperlink" Target="https://all.accor.com/hotel/1399/index.en.shtml" TargetMode="External"/><Relationship Id="rId5" Type="http://schemas.openxmlformats.org/officeDocument/2006/relationships/hyperlink" Target="https://www.hotel-bb.com/fr/hotel/marne-la-vallee-magny-le-hongre" TargetMode="External"/><Relationship Id="rId6" Type="http://schemas.openxmlformats.org/officeDocument/2006/relationships/hyperlink" Target="https://www.bouillon-chartier.com/en/" TargetMode="External"/><Relationship Id="rId7" Type="http://schemas.openxmlformats.org/officeDocument/2006/relationships/hyperlink" Target="https://www.marchedaligre.fr/" TargetMode="External"/><Relationship Id="rId8" Type="http://schemas.openxmlformats.org/officeDocument/2006/relationships/hyperlink" Target="https://www.bonjour-ratp.fr/en/titres-tarifs/" TargetMode="External"/><Relationship Id="rId9" Type="http://schemas.openxmlformats.org/officeDocument/2006/relationships/hyperlink" Target="https://www.bonjour-ratp.fr/en/" TargetMode="External"/><Relationship Id="rId10" Type="http://schemas.openxmlformats.org/officeDocument/2006/relationships/hyperlink" Target="https://www.bonjour-ratp.fr/en/" TargetMode="External"/><Relationship Id="rId11" Type="http://schemas.openxmlformats.org/officeDocument/2006/relationships/hyperlink" Target="https://www.sainte-chapelle.fr/en/visit/practical-information" TargetMode="External"/><Relationship Id="rId12" Type="http://schemas.openxmlformats.org/officeDocument/2006/relationships/hyperlink" Target="https://www.disneylandparis.com/en-int/tickets/" TargetMode="External"/><Relationship Id="rId13" Type="http://schemas.openxmlformats.org/officeDocument/2006/relationships/hyperlink" Target="https://www.toureiffel.paris/en" TargetMode="External"/><Relationship Id="rId14" Type="http://schemas.openxmlformats.org/officeDocument/2006/relationships/hyperlink" Target="https://www.louvre.fr/en/visit/hours-admission" TargetMode="External"/><Relationship Id="rId15" Type="http://schemas.openxmlformats.org/officeDocument/2006/relationships/hyperlink" Target="https://www.musee-orangerie.fr/en" TargetMode="External"/><Relationship Id="rId16" Type="http://schemas.openxmlformats.org/officeDocument/2006/relationships/hyperlink" Target="https://www.musee-orsay.fr/en" TargetMode="External"/><Relationship Id="rId17" Type="http://schemas.openxmlformats.org/officeDocument/2006/relationships/drawing" Target="../drawings/drawing5.xml"/><Relationship Id="rId18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P_italia_outubro_2026!B4</f>
        <v>46312</v>
      </c>
      <c r="C5" s="5" t="n">
        <f aca="false">P_paris_outubro_2026!B4</f>
        <v>46302</v>
      </c>
    </row>
    <row r="6" customFormat="false" ht="15" hidden="false" customHeight="false" outlineLevel="0" collapsed="false">
      <c r="A6" s="4" t="s">
        <v>7</v>
      </c>
      <c r="B6" s="5" t="n">
        <f aca="false">P_italia_outubro_2026!B5</f>
        <v>46319</v>
      </c>
      <c r="C6" s="5" t="n">
        <f aca="false">P_paris_outubro_2026!B5</f>
        <v>46306</v>
      </c>
    </row>
    <row r="7" customFormat="false" ht="15" hidden="false" customHeight="false" outlineLevel="0" collapsed="false">
      <c r="A7" s="4" t="s">
        <v>8</v>
      </c>
      <c r="B7" s="6" t="n">
        <f aca="false">P_italia_outubro_2026!B6</f>
        <v>7</v>
      </c>
      <c r="C7" s="6" t="n">
        <f aca="false">P_paris_outubro_2026!B6</f>
        <v>4</v>
      </c>
      <c r="D7" s="7" t="n">
        <f aca="false">C7-B7</f>
        <v>-3</v>
      </c>
    </row>
    <row r="8" customFormat="false" ht="15" hidden="false" customHeight="false" outlineLevel="0" collapsed="false">
      <c r="A8" s="4" t="s">
        <v>9</v>
      </c>
      <c r="B8" s="6" t="n">
        <f aca="false">P_italia_outubro_2026!B7</f>
        <v>8</v>
      </c>
      <c r="C8" s="6" t="n">
        <f aca="false">P_paris_outubro_2026!B7</f>
        <v>5</v>
      </c>
      <c r="D8" s="7" t="n">
        <f aca="false">C8-B8</f>
        <v>-3</v>
      </c>
    </row>
    <row r="9" customFormat="false" ht="15" hidden="false" customHeight="false" outlineLevel="0" collapsed="false">
      <c r="A9" s="4" t="s">
        <v>10</v>
      </c>
      <c r="B9" s="6" t="n">
        <f aca="false">P_italia_outubro_2026!B8</f>
        <v>2</v>
      </c>
      <c r="C9" s="6" t="n">
        <f aca="false">P_paris_outubro_2026!B8</f>
        <v>2</v>
      </c>
      <c r="D9" s="7" t="n">
        <f aca="false">C9-B9</f>
        <v>0</v>
      </c>
    </row>
    <row r="11" customFormat="false" ht="15" hidden="false" customHeight="false" outlineLevel="0" collapsed="false">
      <c r="A11" s="8" t="s">
        <v>11</v>
      </c>
    </row>
    <row r="12" customFormat="false" ht="15" hidden="false" customHeight="false" outlineLevel="0" collapsed="false">
      <c r="A12" s="4" t="s">
        <v>12</v>
      </c>
      <c r="B12" s="9" t="n">
        <f aca="false">SUMIFS(I_italia_outubro_2026!$R:$R,I_italia_outubro_2026!$B:$B,"voos")</f>
        <v>340</v>
      </c>
      <c r="C12" s="9" t="n">
        <f aca="false">SUMIFS(I_paris_outubro_2026!$R:$R,I_paris_outubro_2026!$B:$B,"voos")</f>
        <v>200</v>
      </c>
      <c r="D12" s="10" t="n">
        <f aca="false">C12-B12</f>
        <v>-140</v>
      </c>
    </row>
    <row r="13" customFormat="false" ht="15" hidden="false" customHeight="false" outlineLevel="0" collapsed="false">
      <c r="A13" s="4" t="s">
        <v>13</v>
      </c>
      <c r="B13" s="9" t="n">
        <f aca="false">SUMIFS(I_italia_outubro_2026!$R:$R,I_italia_outubro_2026!$B:$B,"hospedagem")</f>
        <v>885</v>
      </c>
      <c r="C13" s="9" t="n">
        <f aca="false">SUMIFS(I_paris_outubro_2026!$R:$R,I_paris_outubro_2026!$B:$B,"hospedagem")</f>
        <v>510</v>
      </c>
      <c r="D13" s="10" t="n">
        <f aca="false">C13-B13</f>
        <v>-375</v>
      </c>
    </row>
    <row r="14" customFormat="false" ht="15" hidden="false" customHeight="false" outlineLevel="0" collapsed="false">
      <c r="A14" s="4" t="s">
        <v>14</v>
      </c>
      <c r="B14" s="9" t="n">
        <f aca="false">SUMIFS(I_italia_outubro_2026!$R:$R,I_italia_outubro_2026!$B:$B,"taxa-turismo")</f>
        <v>76</v>
      </c>
      <c r="C14" s="9" t="n">
        <f aca="false">SUMIFS(I_paris_outubro_2026!$R:$R,I_paris_outubro_2026!$B:$B,"taxa-turismo")</f>
        <v>23</v>
      </c>
      <c r="D14" s="10" t="n">
        <f aca="false">C14-B14</f>
        <v>-53</v>
      </c>
    </row>
    <row r="15" customFormat="false" ht="15" hidden="false" customHeight="false" outlineLevel="0" collapsed="false">
      <c r="A15" s="4" t="s">
        <v>15</v>
      </c>
      <c r="B15" s="9" t="n">
        <f aca="false">SUMIFS(I_italia_outubro_2026!$R:$R,I_italia_outubro_2026!$B:$B,"alimentacao")</f>
        <v>520</v>
      </c>
      <c r="C15" s="9" t="n">
        <f aca="false">SUMIFS(I_paris_outubro_2026!$R:$R,I_paris_outubro_2026!$B:$B,"alimentacao")</f>
        <v>380</v>
      </c>
      <c r="D15" s="10" t="n">
        <f aca="false">C15-B15</f>
        <v>-140</v>
      </c>
    </row>
    <row r="16" customFormat="false" ht="15" hidden="false" customHeight="false" outlineLevel="0" collapsed="false">
      <c r="A16" s="4" t="s">
        <v>16</v>
      </c>
      <c r="B16" s="9" t="n">
        <f aca="false">SUMIFS(I_italia_outubro_2026!$R:$R,I_italia_outubro_2026!$B:$B,"transporte-local")</f>
        <v>126</v>
      </c>
      <c r="C16" s="9" t="n">
        <f aca="false">SUMIFS(I_paris_outubro_2026!$R:$R,I_paris_outubro_2026!$B:$B,"transporte-local")</f>
        <v>128</v>
      </c>
      <c r="D16" s="10" t="n">
        <f aca="false">C16-B16</f>
        <v>2</v>
      </c>
    </row>
    <row r="17" customFormat="false" ht="15" hidden="false" customHeight="false" outlineLevel="0" collapsed="false">
      <c r="A17" s="4" t="s">
        <v>17</v>
      </c>
      <c r="B17" s="9" t="n">
        <f aca="false">SUMIFS(I_italia_outubro_2026!$R:$R,I_italia_outubro_2026!$B:$B,"atracoes")</f>
        <v>194</v>
      </c>
      <c r="C17" s="9" t="n">
        <f aca="false">SUMIFS(I_paris_outubro_2026!$R:$R,I_paris_outubro_2026!$B:$B,"atracoes")</f>
        <v>465</v>
      </c>
      <c r="D17" s="10" t="n">
        <f aca="false">C17-B17</f>
        <v>271</v>
      </c>
    </row>
    <row r="18" customFormat="false" ht="15" hidden="false" customHeight="false" outlineLevel="0" collapsed="false">
      <c r="A18" s="4" t="s">
        <v>18</v>
      </c>
      <c r="B18" s="9" t="n">
        <f aca="false">SUMIFS(I_italia_outubro_2026!$R:$R,I_italia_outubro_2026!$B:$B,"extras")</f>
        <v>100</v>
      </c>
      <c r="C18" s="9" t="n">
        <f aca="false">SUMIFS(I_paris_outubro_2026!$R:$R,I_paris_outubro_2026!$B:$B,"extras")</f>
        <v>80</v>
      </c>
      <c r="D18" s="10" t="n">
        <f aca="false">C18-B18</f>
        <v>-20</v>
      </c>
    </row>
    <row r="19" customFormat="false" ht="15" hidden="false" customHeight="false" outlineLevel="0" collapsed="false">
      <c r="A19" s="11" t="s">
        <v>19</v>
      </c>
      <c r="B19" s="12" t="n">
        <f aca="false">SUM(B12:B18)</f>
        <v>2241</v>
      </c>
      <c r="C19" s="12" t="n">
        <f aca="false">SUM(C12:C18)</f>
        <v>1786</v>
      </c>
      <c r="D19" s="13" t="n">
        <f aca="false">C19-B19</f>
        <v>-455</v>
      </c>
    </row>
    <row r="20" customFormat="false" ht="15" hidden="false" customHeight="false" outlineLevel="0" collapsed="false">
      <c r="A20" s="4" t="s">
        <v>20</v>
      </c>
      <c r="B20" s="9" t="n">
        <f aca="false">B19*P_italia_outubro_2026!$B$13</f>
        <v>224.1</v>
      </c>
      <c r="C20" s="9" t="n">
        <f aca="false">C19*P_paris_outubro_2026!$B$13</f>
        <v>178.6</v>
      </c>
      <c r="D20" s="10" t="n">
        <f aca="false">C20-B20</f>
        <v>-45.5</v>
      </c>
    </row>
    <row r="21" customFormat="false" ht="15" hidden="false" customHeight="false" outlineLevel="0" collapsed="false">
      <c r="A21" s="11" t="s">
        <v>21</v>
      </c>
      <c r="B21" s="12" t="n">
        <f aca="false">B19+B20</f>
        <v>2465.1</v>
      </c>
      <c r="C21" s="12" t="n">
        <f aca="false">C19+C20</f>
        <v>1964.6</v>
      </c>
      <c r="D21" s="13" t="n">
        <f aca="false">C21-B21</f>
        <v>-500.5</v>
      </c>
    </row>
    <row r="22" customFormat="false" ht="15" hidden="false" customHeight="false" outlineLevel="0" collapsed="false">
      <c r="A22" s="4" t="s">
        <v>22</v>
      </c>
      <c r="B22" s="9" t="n">
        <f aca="false">S_italia_outubro_2026!B17</f>
        <v>2128.50572</v>
      </c>
      <c r="C22" s="9" t="n">
        <f aca="false">S_paris_outubro_2026!B17</f>
        <v>1527.3291</v>
      </c>
      <c r="D22" s="10" t="n">
        <f aca="false">C22-B22</f>
        <v>-601.17662</v>
      </c>
    </row>
    <row r="23" customFormat="false" ht="15" hidden="false" customHeight="false" outlineLevel="0" collapsed="false">
      <c r="A23" s="4" t="s">
        <v>23</v>
      </c>
      <c r="B23" s="9" t="n">
        <f aca="false">S_italia_outubro_2026!C17</f>
        <v>2465.1</v>
      </c>
      <c r="C23" s="9" t="n">
        <f aca="false">S_paris_outubro_2026!C17</f>
        <v>1964.6</v>
      </c>
      <c r="D23" s="10" t="n">
        <f aca="false">C23-B23</f>
        <v>-500.5</v>
      </c>
    </row>
    <row r="24" customFormat="false" ht="15" hidden="false" customHeight="false" outlineLevel="0" collapsed="false">
      <c r="A24" s="4" t="s">
        <v>24</v>
      </c>
      <c r="B24" s="9" t="n">
        <f aca="false">S_italia_outubro_2026!E17</f>
        <v>2465.1</v>
      </c>
      <c r="C24" s="9" t="n">
        <f aca="false">S_paris_outubro_2026!E17</f>
        <v>3056.02</v>
      </c>
      <c r="D24" s="10" t="n">
        <f aca="false">C24-B24</f>
        <v>590.92</v>
      </c>
    </row>
    <row r="26" customFormat="false" ht="15" hidden="false" customHeight="false" outlineLevel="0" collapsed="false">
      <c r="A26" s="8" t="s">
        <v>25</v>
      </c>
    </row>
    <row r="27" customFormat="false" ht="15" hidden="false" customHeight="false" outlineLevel="0" collapsed="false">
      <c r="A27" s="4" t="s">
        <v>26</v>
      </c>
      <c r="B27" s="9" t="n">
        <f aca="false">B19/P_italia_outubro_2026!$B$8</f>
        <v>1120.5</v>
      </c>
      <c r="C27" s="9" t="n">
        <f aca="false">C19/P_paris_outubro_2026!$B$8</f>
        <v>893</v>
      </c>
      <c r="D27" s="10" t="n">
        <f aca="false">C27-B27</f>
        <v>-227.5</v>
      </c>
    </row>
    <row r="28" customFormat="false" ht="15" hidden="false" customHeight="false" outlineLevel="0" collapsed="false">
      <c r="A28" s="4" t="s">
        <v>27</v>
      </c>
      <c r="B28" s="9" t="n">
        <f aca="false">B19/P_italia_outubro_2026!$B$7</f>
        <v>280.125</v>
      </c>
      <c r="C28" s="9" t="n">
        <f aca="false">C19/P_paris_outubro_2026!$B$7</f>
        <v>357.2</v>
      </c>
      <c r="D28" s="10" t="n">
        <f aca="false">C28-B28</f>
        <v>77.075</v>
      </c>
    </row>
    <row r="29" customFormat="false" ht="15" hidden="false" customHeight="false" outlineLevel="0" collapsed="false">
      <c r="A29" s="8" t="s">
        <v>28</v>
      </c>
      <c r="B29" s="14" t="n">
        <f aca="false">B19/P_italia_outubro_2026!$B$8/P_italia_outubro_2026!$B$7</f>
        <v>140.0625</v>
      </c>
      <c r="C29" s="14" t="n">
        <f aca="false">C19/P_paris_outubro_2026!$B$8/P_paris_outubro_2026!$B$7</f>
        <v>178.6</v>
      </c>
      <c r="D29" s="15" t="n">
        <f aca="false">C29-B29</f>
        <v>38.5375</v>
      </c>
    </row>
    <row r="30" customFormat="false" ht="15" hidden="false" customHeight="false" outlineLevel="0" collapsed="false">
      <c r="A30" s="4" t="s">
        <v>29</v>
      </c>
      <c r="B30" s="9" t="n">
        <f aca="false">IF(P_italia_outubro_2026!$B$6=0,0,SUMIFS(I_italia_outubro_2026!$R:$R,I_italia_outubro_2026!$B:$B,"hospedagem")/P_italia_outubro_2026!$B$6)</f>
        <v>126.428571428571</v>
      </c>
      <c r="C30" s="9" t="n">
        <f aca="false">IF(P_paris_outubro_2026!$B$6=0,0,SUMIFS(I_paris_outubro_2026!$R:$R,I_paris_outubro_2026!$B:$B,"hospedagem")/P_paris_outubro_2026!$B$6)</f>
        <v>127.5</v>
      </c>
      <c r="D30" s="10" t="n">
        <f aca="false">C30-B30</f>
        <v>1.07142857142857</v>
      </c>
    </row>
    <row r="31" customFormat="false" ht="15" hidden="false" customHeight="false" outlineLevel="0" collapsed="false">
      <c r="A31" s="4" t="s">
        <v>30</v>
      </c>
      <c r="B31" s="16" t="n">
        <f aca="false">IF(B19=0,0,B12/B19)</f>
        <v>0.151717983043284</v>
      </c>
      <c r="C31" s="16" t="n">
        <f aca="false">IF(C19=0,0,C12/C19)</f>
        <v>0.111982082866741</v>
      </c>
      <c r="D31" s="17" t="n">
        <f aca="false">C31-B31</f>
        <v>-0.0397359001765429</v>
      </c>
    </row>
    <row r="33" customFormat="false" ht="15" hidden="false" customHeight="false" outlineLevel="0" collapsed="false">
      <c r="A33" s="8" t="s">
        <v>31</v>
      </c>
      <c r="B33" s="18" t="n">
        <f aca="false">P_italia_outubro_2026!$B$12</f>
        <v>2000</v>
      </c>
      <c r="C33" s="18" t="n">
        <f aca="false">P_paris_outubro_2026!$B$12</f>
        <v>2000</v>
      </c>
      <c r="D33" s="19" t="n">
        <f aca="false">C33-B33</f>
        <v>0</v>
      </c>
    </row>
    <row r="34" customFormat="false" ht="15" hidden="false" customHeight="false" outlineLevel="0" collapsed="false">
      <c r="A34" s="8" t="s">
        <v>32</v>
      </c>
      <c r="B34" s="14" t="n">
        <f aca="false">B33-B21</f>
        <v>-465.1</v>
      </c>
      <c r="C34" s="14" t="n">
        <f aca="false">C33-C21</f>
        <v>35.4000000000001</v>
      </c>
      <c r="D34" s="15" t="n">
        <f aca="false">C34-B34</f>
        <v>500.5</v>
      </c>
    </row>
    <row r="35" customFormat="false" ht="15" hidden="false" customHeight="false" outlineLevel="0" collapsed="false">
      <c r="A35" s="8" t="s">
        <v>33</v>
      </c>
      <c r="B35" s="8" t="str">
        <f aca="false">IF(B34&gt;=0,"cabe, sobram "&amp;TEXT(B34,"#,##0")&amp;" €","faltam "&amp;TEXT(-B34,"#,##0")&amp;" €")</f>
        <v>faltam 465 €</v>
      </c>
      <c r="C35" s="8" t="str">
        <f aca="false">IF(C34&gt;=0,"cabe, sobram "&amp;TEXT(C34,"#,##0")&amp;" €","faltam "&amp;TEXT(-C34,"#,##0")&amp;" €")</f>
        <v>cabe, sobram 35 €</v>
      </c>
    </row>
    <row r="37" customFormat="false" ht="15" hidden="false" customHeight="false" outlineLevel="0" collapsed="false">
      <c r="A37" s="8" t="s">
        <v>34</v>
      </c>
      <c r="B37" s="8" t="str">
        <f aca="false">INDEX($B$4:$C$4,MATCH(MIN($B$21:$C$21),$B$21:$C$21,0))</f>
        <v>Paris &amp; Disneyland — Outubro 2026</v>
      </c>
    </row>
    <row r="38" customFormat="false" ht="15" hidden="false" customHeight="false" outlineLevel="0" collapsed="false">
      <c r="A38" s="8" t="s">
        <v>35</v>
      </c>
      <c r="B38" s="8" t="str">
        <f aca="false">INDEX($B$4:$C$4,MATCH(MIN($B$27:$C$27),$B$27:$C$27,0))</f>
        <v>Paris &amp; Disneyland — Outubro 2026</v>
      </c>
    </row>
    <row r="40" customFormat="false" ht="15" hidden="false" customHeight="false" outlineLevel="0" collapsed="false">
      <c r="A40" s="20" t="s">
        <v>36</v>
      </c>
    </row>
    <row r="41" customFormat="false" ht="15" hidden="false" customHeight="false" outlineLevel="0" collapsed="false">
      <c r="A41" s="20" t="s">
        <v>37</v>
      </c>
    </row>
    <row r="42" customFormat="false" ht="15" hidden="false" customHeight="false" outlineLevel="0" collapsed="false">
      <c r="A42" s="2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4" t="s">
        <v>40</v>
      </c>
      <c r="B4" s="5" t="n">
        <f aca="false">P_italia_outubro_2026!B4</f>
        <v>46312</v>
      </c>
      <c r="C4" s="5" t="n">
        <f aca="false">P_italia_outubro_2026!B5</f>
        <v>46319</v>
      </c>
    </row>
    <row r="5" customFormat="false" ht="15" hidden="false" customHeight="false" outlineLevel="0" collapsed="false">
      <c r="A5" s="4" t="s">
        <v>41</v>
      </c>
      <c r="B5" s="6" t="n">
        <f aca="false">P_italia_outubro_2026!B8</f>
        <v>2</v>
      </c>
      <c r="C5" s="6" t="n">
        <f aca="false">P_italia_outubro_2026!B6</f>
        <v>7</v>
      </c>
      <c r="D5" s="6" t="n">
        <f aca="false">P_italia_outubro_2026!B7</f>
        <v>8</v>
      </c>
    </row>
    <row r="7" customFormat="false" ht="30" hidden="false" customHeight="true" outlineLevel="0" collapsed="false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</row>
    <row r="8" customFormat="false" ht="15" hidden="false" customHeight="false" outlineLevel="0" collapsed="false">
      <c r="A8" s="21" t="str">
        <f aca="false">P_italia_outubro_2026!B27</f>
        <v>Voos</v>
      </c>
      <c r="B8" s="9" t="n">
        <f aca="false">SUMIFS(I_italia_outubro_2026!$O:$O,I_italia_outubro_2026!$B:$B,P_italia_outubro_2026!$A$27)</f>
        <v>240.006</v>
      </c>
      <c r="C8" s="9" t="n">
        <f aca="false">SUMIFS(I_italia_outubro_2026!$P:$P,I_italia_outubro_2026!$B:$B,P_italia_outubro_2026!$A$27)</f>
        <v>340</v>
      </c>
      <c r="D8" s="14" t="n">
        <f aca="false">SUMIFS(I_italia_outubro_2026!$R:$R,I_italia_outubro_2026!$B:$B,P_italia_outubro_2026!$A$27)</f>
        <v>340</v>
      </c>
      <c r="E8" s="9" t="n">
        <f aca="false">SUMIFS(I_italia_outubro_2026!$Q:$Q,I_italia_outubro_2026!$B:$B,P_italia_outubro_2026!$A$27)</f>
        <v>340</v>
      </c>
      <c r="H8" s="21" t="str">
        <f aca="false">P_italia_outubro_2026!D27</f>
        <v>não</v>
      </c>
    </row>
    <row r="9" customFormat="false" ht="15" hidden="false" customHeight="false" outlineLevel="0" collapsed="false">
      <c r="A9" s="21" t="str">
        <f aca="false">P_italia_outubro_2026!B28</f>
        <v>Hospedagem</v>
      </c>
      <c r="B9" s="9" t="n">
        <f aca="false">SUMIFS(I_italia_outubro_2026!$O:$O,I_italia_outubro_2026!$B:$B,P_italia_outubro_2026!$A$28)</f>
        <v>744.993</v>
      </c>
      <c r="C9" s="9" t="n">
        <f aca="false">SUMIFS(I_italia_outubro_2026!$P:$P,I_italia_outubro_2026!$B:$B,P_italia_outubro_2026!$A$28)</f>
        <v>885</v>
      </c>
      <c r="D9" s="14" t="n">
        <f aca="false">SUMIFS(I_italia_outubro_2026!$R:$R,I_italia_outubro_2026!$B:$B,P_italia_outubro_2026!$A$28)</f>
        <v>885</v>
      </c>
      <c r="E9" s="9" t="n">
        <f aca="false">SUMIFS(I_italia_outubro_2026!$Q:$Q,I_italia_outubro_2026!$B:$B,P_italia_outubro_2026!$A$28)</f>
        <v>885</v>
      </c>
      <c r="H9" s="21" t="str">
        <f aca="false">P_italia_outubro_2026!D28</f>
        <v>não</v>
      </c>
    </row>
    <row r="10" customFormat="false" ht="15" hidden="false" customHeight="false" outlineLevel="0" collapsed="false">
      <c r="A10" s="21" t="str">
        <f aca="false">P_italia_outubro_2026!B29</f>
        <v>Taxa de turismo</v>
      </c>
      <c r="B10" s="9" t="n">
        <f aca="false">SUMIFS(I_italia_outubro_2026!$O:$O,I_italia_outubro_2026!$B:$B,P_italia_outubro_2026!$A$29)</f>
        <v>76</v>
      </c>
      <c r="C10" s="9" t="n">
        <f aca="false">SUMIFS(I_italia_outubro_2026!$P:$P,I_italia_outubro_2026!$B:$B,P_italia_outubro_2026!$A$29)</f>
        <v>76</v>
      </c>
      <c r="D10" s="14" t="n">
        <f aca="false">SUMIFS(I_italia_outubro_2026!$R:$R,I_italia_outubro_2026!$B:$B,P_italia_outubro_2026!$A$29)</f>
        <v>76</v>
      </c>
      <c r="E10" s="9" t="n">
        <f aca="false">SUMIFS(I_italia_outubro_2026!$Q:$Q,I_italia_outubro_2026!$B:$B,P_italia_outubro_2026!$A$29)</f>
        <v>76</v>
      </c>
      <c r="H10" s="21" t="str">
        <f aca="false">P_italia_outubro_2026!D29</f>
        <v>não</v>
      </c>
    </row>
    <row r="11" customFormat="false" ht="15" hidden="false" customHeight="false" outlineLevel="0" collapsed="false">
      <c r="A11" s="22" t="str">
        <f aca="false">P_italia_outubro_2026!B30</f>
        <v>Alimentação</v>
      </c>
      <c r="B11" s="23" t="n">
        <f aca="false">SUMIFS(I_italia_outubro_2026!$O:$O,I_italia_outubro_2026!$B:$B,P_italia_outubro_2026!$A$30)</f>
        <v>520</v>
      </c>
      <c r="C11" s="23" t="n">
        <f aca="false">SUMIFS(I_italia_outubro_2026!$P:$P,I_italia_outubro_2026!$B:$B,P_italia_outubro_2026!$A$30)</f>
        <v>520</v>
      </c>
      <c r="D11" s="24" t="n">
        <f aca="false">SUMIFS(I_italia_outubro_2026!$R:$R,I_italia_outubro_2026!$B:$B,P_italia_outubro_2026!$A$30)</f>
        <v>520</v>
      </c>
      <c r="E11" s="23" t="n">
        <f aca="false">SUMIFS(I_italia_outubro_2026!$Q:$Q,I_italia_outubro_2026!$B:$B,P_italia_outubro_2026!$A$30)</f>
        <v>520</v>
      </c>
      <c r="F11" s="25"/>
      <c r="G11" s="25"/>
      <c r="H11" s="22" t="str">
        <f aca="false">P_italia_outubro_2026!D30</f>
        <v>sim</v>
      </c>
    </row>
    <row r="12" customFormat="false" ht="15" hidden="false" customHeight="false" outlineLevel="0" collapsed="false">
      <c r="A12" s="21" t="str">
        <f aca="false">P_italia_outubro_2026!B31</f>
        <v>Transporte local</v>
      </c>
      <c r="B12" s="9" t="n">
        <f aca="false">SUMIFS(I_italia_outubro_2026!$O:$O,I_italia_outubro_2026!$B:$B,P_italia_outubro_2026!$A$31)</f>
        <v>100.0062</v>
      </c>
      <c r="C12" s="9" t="n">
        <f aca="false">SUMIFS(I_italia_outubro_2026!$P:$P,I_italia_outubro_2026!$B:$B,P_italia_outubro_2026!$A$31)</f>
        <v>126</v>
      </c>
      <c r="D12" s="14" t="n">
        <f aca="false">SUMIFS(I_italia_outubro_2026!$R:$R,I_italia_outubro_2026!$B:$B,P_italia_outubro_2026!$A$31)</f>
        <v>126</v>
      </c>
      <c r="E12" s="9" t="n">
        <f aca="false">SUMIFS(I_italia_outubro_2026!$Q:$Q,I_italia_outubro_2026!$B:$B,P_italia_outubro_2026!$A$31)</f>
        <v>126</v>
      </c>
      <c r="H12" s="21" t="str">
        <f aca="false">P_italia_outubro_2026!D31</f>
        <v>não</v>
      </c>
    </row>
    <row r="13" customFormat="false" ht="15" hidden="false" customHeight="false" outlineLevel="0" collapsed="false">
      <c r="A13" s="22" t="str">
        <f aca="false">P_italia_outubro_2026!B32</f>
        <v>Atrações</v>
      </c>
      <c r="B13" s="23" t="n">
        <f aca="false">SUMIFS(I_italia_outubro_2026!$O:$O,I_italia_outubro_2026!$B:$B,P_italia_outubro_2026!$A$32)</f>
        <v>194</v>
      </c>
      <c r="C13" s="23" t="n">
        <f aca="false">SUMIFS(I_italia_outubro_2026!$P:$P,I_italia_outubro_2026!$B:$B,P_italia_outubro_2026!$A$32)</f>
        <v>194</v>
      </c>
      <c r="D13" s="24" t="n">
        <f aca="false">SUMIFS(I_italia_outubro_2026!$R:$R,I_italia_outubro_2026!$B:$B,P_italia_outubro_2026!$A$32)</f>
        <v>194</v>
      </c>
      <c r="E13" s="23" t="n">
        <f aca="false">SUMIFS(I_italia_outubro_2026!$Q:$Q,I_italia_outubro_2026!$B:$B,P_italia_outubro_2026!$A$32)</f>
        <v>194</v>
      </c>
      <c r="F13" s="25"/>
      <c r="G13" s="25"/>
      <c r="H13" s="22" t="str">
        <f aca="false">P_italia_outubro_2026!D32</f>
        <v>sim</v>
      </c>
    </row>
    <row r="14" customFormat="false" ht="15" hidden="false" customHeight="false" outlineLevel="0" collapsed="false">
      <c r="A14" s="21" t="str">
        <f aca="false">P_italia_outubro_2026!B33</f>
        <v>Extras e compras</v>
      </c>
      <c r="B14" s="9" t="n">
        <f aca="false">SUMIFS(I_italia_outubro_2026!$O:$O,I_italia_outubro_2026!$B:$B,P_italia_outubro_2026!$A$33)</f>
        <v>60</v>
      </c>
      <c r="C14" s="9" t="n">
        <f aca="false">SUMIFS(I_italia_outubro_2026!$P:$P,I_italia_outubro_2026!$B:$B,P_italia_outubro_2026!$A$33)</f>
        <v>100</v>
      </c>
      <c r="D14" s="14" t="n">
        <f aca="false">SUMIFS(I_italia_outubro_2026!$R:$R,I_italia_outubro_2026!$B:$B,P_italia_outubro_2026!$A$33)</f>
        <v>100</v>
      </c>
      <c r="E14" s="9" t="n">
        <f aca="false">SUMIFS(I_italia_outubro_2026!$Q:$Q,I_italia_outubro_2026!$B:$B,P_italia_outubro_2026!$A$33)</f>
        <v>100</v>
      </c>
      <c r="H14" s="21" t="str">
        <f aca="false">P_italia_outubro_2026!D33</f>
        <v>não</v>
      </c>
    </row>
    <row r="15" customFormat="false" ht="15" hidden="false" customHeight="false" outlineLevel="0" collapsed="false">
      <c r="A15" s="11" t="s">
        <v>50</v>
      </c>
      <c r="B15" s="13" t="n">
        <f aca="false">SUM(B8:B14)</f>
        <v>1935.0052</v>
      </c>
      <c r="C15" s="13" t="n">
        <f aca="false">SUM(C8:C14)</f>
        <v>2241</v>
      </c>
      <c r="D15" s="13" t="n">
        <f aca="false">SUM(D8:D14)</f>
        <v>2241</v>
      </c>
      <c r="E15" s="13" t="n">
        <f aca="false">SUM(E8:E14)</f>
        <v>2241</v>
      </c>
      <c r="F15" s="26"/>
      <c r="G15" s="26"/>
      <c r="H15" s="26"/>
    </row>
    <row r="16" customFormat="false" ht="15" hidden="false" customHeight="false" outlineLevel="0" collapsed="false">
      <c r="A16" s="4" t="s">
        <v>20</v>
      </c>
      <c r="B16" s="10" t="n">
        <f aca="false">B15*P_italia_outubro_2026!$B$13</f>
        <v>193.50052</v>
      </c>
      <c r="C16" s="10" t="n">
        <f aca="false">C15*P_italia_outubro_2026!$B$13</f>
        <v>224.1</v>
      </c>
      <c r="D16" s="15" t="n">
        <f aca="false">D15*P_italia_outubro_2026!$B$13</f>
        <v>224.1</v>
      </c>
      <c r="E16" s="10" t="n">
        <f aca="false">E15*P_italia_outubro_2026!$B$13</f>
        <v>224.1</v>
      </c>
    </row>
    <row r="17" customFormat="false" ht="15" hidden="false" customHeight="false" outlineLevel="0" collapsed="false">
      <c r="A17" s="11" t="s">
        <v>21</v>
      </c>
      <c r="B17" s="13" t="n">
        <f aca="false">B15+B16</f>
        <v>2128.50572</v>
      </c>
      <c r="C17" s="13" t="n">
        <f aca="false">C15+C16</f>
        <v>2465.1</v>
      </c>
      <c r="D17" s="13" t="n">
        <f aca="false">D15+D16</f>
        <v>2465.1</v>
      </c>
      <c r="E17" s="13" t="n">
        <f aca="false">E15+E16</f>
        <v>2465.1</v>
      </c>
      <c r="F17" s="26"/>
      <c r="G17" s="26"/>
      <c r="H17" s="26"/>
    </row>
    <row r="19" customFormat="false" ht="15" hidden="false" customHeight="false" outlineLevel="0" collapsed="false">
      <c r="A19" s="4" t="s">
        <v>26</v>
      </c>
      <c r="B19" s="10" t="n">
        <f aca="false">B15/P_italia_outubro_2026!$B$8</f>
        <v>967.5026</v>
      </c>
      <c r="C19" s="10" t="n">
        <f aca="false">C15/P_italia_outubro_2026!$B$8</f>
        <v>1120.5</v>
      </c>
      <c r="D19" s="15" t="n">
        <f aca="false">D15/P_italia_outubro_2026!$B$8</f>
        <v>1120.5</v>
      </c>
      <c r="E19" s="10" t="n">
        <f aca="false">E15/P_italia_outubro_2026!$B$8</f>
        <v>1120.5</v>
      </c>
    </row>
    <row r="20" customFormat="false" ht="15" hidden="false" customHeight="false" outlineLevel="0" collapsed="false">
      <c r="A20" s="4" t="s">
        <v>27</v>
      </c>
      <c r="B20" s="10" t="n">
        <f aca="false">B15/P_italia_outubro_2026!$B$7</f>
        <v>241.87565</v>
      </c>
      <c r="C20" s="10" t="n">
        <f aca="false">C15/P_italia_outubro_2026!$B$7</f>
        <v>280.125</v>
      </c>
      <c r="D20" s="15" t="n">
        <f aca="false">D15/P_italia_outubro_2026!$B$7</f>
        <v>280.125</v>
      </c>
      <c r="E20" s="10" t="n">
        <f aca="false">E15/P_italia_outubro_2026!$B$7</f>
        <v>280.125</v>
      </c>
    </row>
    <row r="21" customFormat="false" ht="15" hidden="false" customHeight="false" outlineLevel="0" collapsed="false">
      <c r="A21" s="4" t="s">
        <v>28</v>
      </c>
      <c r="B21" s="10" t="n">
        <f aca="false">B15/P_italia_outubro_2026!$B$8/P_italia_outubro_2026!$B$7</f>
        <v>120.937825</v>
      </c>
      <c r="C21" s="10" t="n">
        <f aca="false">C15/P_italia_outubro_2026!$B$8/P_italia_outubro_2026!$B$7</f>
        <v>140.0625</v>
      </c>
      <c r="D21" s="15" t="n">
        <f aca="false">D15/P_italia_outubro_2026!$B$8/P_italia_outubro_2026!$B$7</f>
        <v>140.0625</v>
      </c>
      <c r="E21" s="10" t="n">
        <f aca="false">E15/P_italia_outubro_2026!$B$8/P_italia_outubro_2026!$B$7</f>
        <v>140.0625</v>
      </c>
    </row>
    <row r="22" customFormat="false" ht="15" hidden="false" customHeight="false" outlineLevel="0" collapsed="false">
      <c r="A22" s="4" t="s">
        <v>51</v>
      </c>
      <c r="B22" s="10" t="n">
        <f aca="false">B15-SUMIFS(I_italia_outubro_2026!$O:$O,I_italia_outubro_2026!$B:$B,"voos")</f>
        <v>1694.9992</v>
      </c>
      <c r="C22" s="10" t="n">
        <f aca="false">C15-SUMIFS(I_italia_outubro_2026!$P:$P,I_italia_outubro_2026!$B:$B,"voos")</f>
        <v>1901</v>
      </c>
      <c r="D22" s="15" t="n">
        <f aca="false">D15-SUMIFS(I_italia_outubro_2026!$R:$R,I_italia_outubro_2026!$B:$B,"voos")</f>
        <v>1901</v>
      </c>
      <c r="E22" s="10" t="n">
        <f aca="false">E15-SUMIFS(I_italia_outubro_2026!$Q:$Q,I_italia_outubro_2026!$B:$B,"voos")</f>
        <v>1901</v>
      </c>
    </row>
    <row r="23" customFormat="false" ht="15" hidden="false" customHeight="false" outlineLevel="0" collapsed="false">
      <c r="A23" s="4" t="s">
        <v>52</v>
      </c>
      <c r="B23" s="17" t="n">
        <f aca="false">IF(B22=0,0,SUMIFS(I_italia_outubro_2026!$O:$O,I_italia_outubro_2026!$B:$B,"alimentacao")/B22)</f>
        <v>0.30678480556215</v>
      </c>
      <c r="C23" s="17" t="n">
        <f aca="false">IF(C22=0,0,SUMIFS(I_italia_outubro_2026!$P:$P,I_italia_outubro_2026!$B:$B,"alimentacao")/C22)</f>
        <v>0.273540241977906</v>
      </c>
      <c r="D23" s="27" t="n">
        <f aca="false">IF(D22=0,0,SUMIFS(I_italia_outubro_2026!$R:$R,I_italia_outubro_2026!$B:$B,"alimentacao")/D22)</f>
        <v>0.273540241977906</v>
      </c>
      <c r="E23" s="17" t="n">
        <f aca="false">IF(E22=0,0,SUMIFS(I_italia_outubro_2026!$Q:$Q,I_italia_outubro_2026!$B:$B,"alimentacao")/E22)</f>
        <v>0.273540241977906</v>
      </c>
      <c r="H23" s="2" t="s">
        <v>53</v>
      </c>
    </row>
    <row r="25" customFormat="false" ht="15" hidden="false" customHeight="false" outlineLevel="0" collapsed="false">
      <c r="A25" s="8" t="s">
        <v>31</v>
      </c>
      <c r="B25" s="15" t="n">
        <f aca="false">P_italia_outubro_2026!$B$12</f>
        <v>2000</v>
      </c>
      <c r="C25" s="15" t="n">
        <f aca="false">P_italia_outubro_2026!$B$12</f>
        <v>2000</v>
      </c>
      <c r="D25" s="15" t="n">
        <f aca="false">P_italia_outubro_2026!$B$12</f>
        <v>2000</v>
      </c>
      <c r="E25" s="15" t="n">
        <f aca="false">P_italia_outubro_2026!$B$12</f>
        <v>2000</v>
      </c>
    </row>
    <row r="26" customFormat="false" ht="15" hidden="false" customHeight="false" outlineLevel="0" collapsed="false">
      <c r="A26" s="8" t="s">
        <v>32</v>
      </c>
      <c r="B26" s="15" t="n">
        <f aca="false">B25-B17</f>
        <v>-128.50572</v>
      </c>
      <c r="C26" s="15" t="n">
        <f aca="false">C25-C17</f>
        <v>-465.1</v>
      </c>
      <c r="D26" s="15" t="n">
        <f aca="false">D25-D17</f>
        <v>-465.1</v>
      </c>
      <c r="E26" s="15" t="n">
        <f aca="false">E25-E17</f>
        <v>-465.1</v>
      </c>
    </row>
    <row r="27" customFormat="false" ht="15" hidden="false" customHeight="false" outlineLevel="0" collapsed="false">
      <c r="A27" s="4" t="s">
        <v>54</v>
      </c>
      <c r="B27" s="17" t="n">
        <f aca="false">IF(B25=0,0,B17/B25)</f>
        <v>1.06425286</v>
      </c>
      <c r="C27" s="17" t="n">
        <f aca="false">IF(C25=0,0,C17/C25)</f>
        <v>1.23255</v>
      </c>
      <c r="D27" s="27" t="n">
        <f aca="false">IF(D25=0,0,D17/D25)</f>
        <v>1.23255</v>
      </c>
      <c r="E27" s="17" t="n">
        <f aca="false">IF(E25=0,0,E17/E25)</f>
        <v>1.23255</v>
      </c>
    </row>
    <row r="28" customFormat="false" ht="15" hidden="false" customHeight="false" outlineLevel="0" collapsed="false">
      <c r="A28" s="8" t="s">
        <v>33</v>
      </c>
      <c r="B28" s="8" t="str">
        <f aca="false">IF(B26&gt;=0,"cabe, sobram "&amp;TEXT(B26,"#,##0")&amp;" €","faltam "&amp;TEXT(-B26,"#,##0")&amp;" €")</f>
        <v>faltam 129 €</v>
      </c>
      <c r="C28" s="8" t="str">
        <f aca="false">IF(C26&gt;=0,"cabe, sobram "&amp;TEXT(C26,"#,##0")&amp;" €","faltam "&amp;TEXT(-C26,"#,##0")&amp;" €")</f>
        <v>faltam 465 €</v>
      </c>
      <c r="D28" s="8" t="str">
        <f aca="false">IF(D26&gt;=0,"cabe, sobram "&amp;TEXT(D26,"#,##0")&amp;" €","faltam "&amp;TEXT(-D26,"#,##0")&amp;" €")</f>
        <v>faltam 465 €</v>
      </c>
      <c r="E28" s="8" t="str">
        <f aca="false">IF(E26&gt;=0,"cabe, sobram "&amp;TEXT(E26,"#,##0")&amp;" €","faltam "&amp;TEXT(-E26,"#,##0")&amp;" €")</f>
        <v>faltam 465 €</v>
      </c>
    </row>
    <row r="29" customFormat="false" ht="15" hidden="false" customHeight="false" outlineLevel="0" collapsed="false">
      <c r="A29" s="4" t="s">
        <v>55</v>
      </c>
      <c r="D29" s="21" t="str">
        <f aca="false">COUNTIF(I_italia_outubro_2026!$H:$H,"upgrade")&amp;" up · "&amp;COUNTIF(I_italia_outubro_2026!$H:$H,"econômico")&amp;" eco"</f>
        <v>0 up · 0 eco</v>
      </c>
    </row>
    <row r="31" customFormat="false" ht="15" hidden="false" customHeight="false" outlineLevel="0" collapsed="false">
      <c r="A31" s="8" t="s">
        <v>56</v>
      </c>
    </row>
    <row r="32" customFormat="false" ht="15" hidden="false" customHeight="false" outlineLevel="0" collapsed="false">
      <c r="A32" s="20" t="s">
        <v>57</v>
      </c>
    </row>
    <row r="33" customFormat="false" ht="15" hidden="false" customHeight="false" outlineLevel="0" collapsed="false">
      <c r="A33" s="20" t="s">
        <v>58</v>
      </c>
    </row>
    <row r="34" customFormat="false" ht="15" hidden="false" customHeight="false" outlineLevel="0" collapsed="false">
      <c r="A34" s="20" t="s">
        <v>59</v>
      </c>
    </row>
    <row r="35" customFormat="false" ht="15" hidden="false" customHeight="false" outlineLevel="0" collapsed="false">
      <c r="A35" s="2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4" t="s">
        <v>62</v>
      </c>
      <c r="B3" s="28" t="s">
        <v>63</v>
      </c>
    </row>
    <row r="4" customFormat="false" ht="15" hidden="false" customHeight="false" outlineLevel="0" collapsed="false">
      <c r="A4" s="4" t="s">
        <v>6</v>
      </c>
      <c r="B4" s="29" t="n">
        <v>46312</v>
      </c>
    </row>
    <row r="5" customFormat="false" ht="15" hidden="false" customHeight="false" outlineLevel="0" collapsed="false">
      <c r="A5" s="4" t="s">
        <v>7</v>
      </c>
      <c r="B5" s="29" t="n">
        <v>46319</v>
      </c>
    </row>
    <row r="6" customFormat="false" ht="15" hidden="false" customHeight="false" outlineLevel="0" collapsed="false">
      <c r="A6" s="4" t="s">
        <v>8</v>
      </c>
      <c r="B6" s="7" t="n">
        <f aca="false">B5-B4</f>
        <v>7</v>
      </c>
      <c r="E6" s="2" t="s">
        <v>64</v>
      </c>
    </row>
    <row r="7" customFormat="false" ht="15" hidden="false" customHeight="false" outlineLevel="0" collapsed="false">
      <c r="A7" s="4" t="s">
        <v>65</v>
      </c>
      <c r="B7" s="7" t="n">
        <f aca="false">B5-B4+1</f>
        <v>8</v>
      </c>
      <c r="E7" s="2" t="s">
        <v>64</v>
      </c>
    </row>
    <row r="8" customFormat="false" ht="15" hidden="false" customHeight="false" outlineLevel="0" collapsed="false">
      <c r="A8" s="4" t="s">
        <v>10</v>
      </c>
      <c r="B8" s="30" t="n">
        <v>2</v>
      </c>
    </row>
    <row r="9" customFormat="false" ht="15" hidden="false" customHeight="false" outlineLevel="0" collapsed="false">
      <c r="A9" s="4" t="s">
        <v>66</v>
      </c>
      <c r="B9" s="28" t="s">
        <v>67</v>
      </c>
    </row>
    <row r="10" customFormat="false" ht="15" hidden="false" customHeight="false" outlineLevel="0" collapsed="false">
      <c r="A10" s="4" t="s">
        <v>68</v>
      </c>
      <c r="B10" s="31" t="n">
        <v>2000</v>
      </c>
    </row>
    <row r="11" customFormat="false" ht="15" hidden="false" customHeight="false" outlineLevel="0" collapsed="false">
      <c r="A11" s="4" t="s">
        <v>69</v>
      </c>
      <c r="B11" s="32" t="s">
        <v>70</v>
      </c>
      <c r="E11" s="2" t="s">
        <v>71</v>
      </c>
    </row>
    <row r="12" customFormat="false" ht="15" hidden="false" customHeight="false" outlineLevel="0" collapsed="false">
      <c r="A12" s="4" t="s">
        <v>31</v>
      </c>
      <c r="B12" s="33" t="n">
        <f aca="false">IF(B11="pessoa",B10*B8,B10)</f>
        <v>2000</v>
      </c>
      <c r="E12" s="2" t="s">
        <v>64</v>
      </c>
    </row>
    <row r="13" customFormat="false" ht="15" hidden="false" customHeight="false" outlineLevel="0" collapsed="false">
      <c r="A13" s="4" t="s">
        <v>72</v>
      </c>
      <c r="B13" s="34" t="n">
        <v>0.1</v>
      </c>
      <c r="E13" s="2" t="s">
        <v>73</v>
      </c>
    </row>
    <row r="14" customFormat="false" ht="15" hidden="false" customHeight="false" outlineLevel="0" collapsed="false">
      <c r="A14" s="4" t="s">
        <v>74</v>
      </c>
      <c r="B14" s="34" t="n">
        <v>0</v>
      </c>
      <c r="E14" s="2" t="s">
        <v>75</v>
      </c>
    </row>
    <row r="15" customFormat="false" ht="15" hidden="false" customHeight="false" outlineLevel="0" collapsed="false">
      <c r="A15" s="4" t="s">
        <v>76</v>
      </c>
      <c r="B15" s="28" t="s">
        <v>77</v>
      </c>
      <c r="E15" s="2" t="s">
        <v>78</v>
      </c>
    </row>
    <row r="16" customFormat="false" ht="15" hidden="false" customHeight="false" outlineLevel="0" collapsed="false">
      <c r="A16" s="4" t="s">
        <v>79</v>
      </c>
      <c r="B16" s="29" t="n">
        <v>46277</v>
      </c>
    </row>
    <row r="17" customFormat="false" ht="15" hidden="false" customHeight="false" outlineLevel="0" collapsed="false">
      <c r="A17" s="4" t="s">
        <v>80</v>
      </c>
      <c r="B17" s="28" t="s">
        <v>81</v>
      </c>
    </row>
    <row r="20" customFormat="false" ht="15" hidden="false" customHeight="false" outlineLevel="0" collapsed="false">
      <c r="A20" s="8" t="s">
        <v>82</v>
      </c>
    </row>
    <row r="21" customFormat="false" ht="30" hidden="false" customHeight="true" outlineLevel="0" collapsed="false">
      <c r="A21" s="3" t="s">
        <v>83</v>
      </c>
      <c r="B21" s="3" t="s">
        <v>84</v>
      </c>
      <c r="C21" s="3" t="s">
        <v>85</v>
      </c>
      <c r="D21" s="3"/>
      <c r="E21" s="3" t="s">
        <v>86</v>
      </c>
    </row>
    <row r="22" customFormat="false" ht="15" hidden="false" customHeight="false" outlineLevel="0" collapsed="false">
      <c r="A22" s="28" t="s">
        <v>67</v>
      </c>
      <c r="B22" s="35" t="n">
        <v>1</v>
      </c>
      <c r="C22" s="29" t="n">
        <v>46277</v>
      </c>
      <c r="E22" s="2" t="s">
        <v>87</v>
      </c>
    </row>
    <row r="25" customFormat="false" ht="15" hidden="false" customHeight="false" outlineLevel="0" collapsed="false">
      <c r="A25" s="8" t="s">
        <v>88</v>
      </c>
      <c r="E25" s="2" t="s">
        <v>89</v>
      </c>
    </row>
    <row r="26" customFormat="false" ht="30" hidden="false" customHeight="true" outlineLevel="0" collapsed="false">
      <c r="A26" s="3" t="s">
        <v>90</v>
      </c>
      <c r="B26" s="3" t="s">
        <v>91</v>
      </c>
      <c r="C26" s="3" t="s">
        <v>92</v>
      </c>
      <c r="D26" s="3" t="s">
        <v>49</v>
      </c>
      <c r="E26" s="3" t="s">
        <v>93</v>
      </c>
    </row>
    <row r="27" customFormat="false" ht="15" hidden="false" customHeight="false" outlineLevel="0" collapsed="false">
      <c r="A27" s="28" t="s">
        <v>94</v>
      </c>
      <c r="B27" s="28" t="s">
        <v>12</v>
      </c>
      <c r="C27" s="36" t="n">
        <v>0.7059</v>
      </c>
      <c r="D27" s="28" t="s">
        <v>95</v>
      </c>
      <c r="E27" s="20" t="s">
        <v>96</v>
      </c>
    </row>
    <row r="28" customFormat="false" ht="15" hidden="false" customHeight="false" outlineLevel="0" collapsed="false">
      <c r="A28" s="28" t="s">
        <v>97</v>
      </c>
      <c r="B28" s="28" t="s">
        <v>13</v>
      </c>
      <c r="C28" s="36" t="n">
        <v>0.8418</v>
      </c>
      <c r="D28" s="28" t="s">
        <v>95</v>
      </c>
      <c r="E28" s="20" t="s">
        <v>98</v>
      </c>
    </row>
    <row r="29" customFormat="false" ht="15" hidden="false" customHeight="false" outlineLevel="0" collapsed="false">
      <c r="A29" s="28" t="s">
        <v>99</v>
      </c>
      <c r="B29" s="28" t="s">
        <v>14</v>
      </c>
      <c r="C29" s="36" t="n">
        <v>1</v>
      </c>
      <c r="D29" s="28" t="s">
        <v>95</v>
      </c>
      <c r="E29" s="20" t="s">
        <v>100</v>
      </c>
    </row>
    <row r="30" customFormat="false" ht="15" hidden="false" customHeight="false" outlineLevel="0" collapsed="false">
      <c r="A30" s="28" t="s">
        <v>101</v>
      </c>
      <c r="B30" s="28" t="s">
        <v>15</v>
      </c>
      <c r="C30" s="36" t="n">
        <v>1</v>
      </c>
      <c r="D30" s="28" t="s">
        <v>102</v>
      </c>
      <c r="E30" s="20" t="s">
        <v>103</v>
      </c>
    </row>
    <row r="31" customFormat="false" ht="15" hidden="false" customHeight="false" outlineLevel="0" collapsed="false">
      <c r="A31" s="28" t="s">
        <v>104</v>
      </c>
      <c r="B31" s="28" t="s">
        <v>16</v>
      </c>
      <c r="C31" s="36" t="n">
        <v>0.7937</v>
      </c>
      <c r="D31" s="28" t="s">
        <v>95</v>
      </c>
      <c r="E31" s="20" t="s">
        <v>105</v>
      </c>
    </row>
    <row r="32" customFormat="false" ht="15" hidden="false" customHeight="false" outlineLevel="0" collapsed="false">
      <c r="A32" s="28" t="s">
        <v>106</v>
      </c>
      <c r="B32" s="28" t="s">
        <v>17</v>
      </c>
      <c r="C32" s="36" t="n">
        <v>1</v>
      </c>
      <c r="D32" s="28" t="s">
        <v>102</v>
      </c>
      <c r="E32" s="20" t="s">
        <v>107</v>
      </c>
    </row>
    <row r="33" customFormat="false" ht="15" hidden="false" customHeight="false" outlineLevel="0" collapsed="false">
      <c r="A33" s="28" t="s">
        <v>108</v>
      </c>
      <c r="B33" s="28" t="s">
        <v>109</v>
      </c>
      <c r="C33" s="36" t="n">
        <v>0.6</v>
      </c>
      <c r="D33" s="28" t="s">
        <v>95</v>
      </c>
      <c r="E33" s="20" t="s">
        <v>110</v>
      </c>
    </row>
  </sheetData>
  <dataValidations count="2">
    <dataValidation allowBlank="false" errorStyle="stop" operator="between" showDropDown="false" showErrorMessage="false" showInputMessage="false" sqref="B11" type="list">
      <formula1>"total,pessoa"</formula1>
      <formula2>0</formula2>
    </dataValidation>
    <dataValidation allowBlank="false" errorStyle="stop" operator="between" showDropDown="false" showErrorMessage="false" showInputMessage="false" sqref="D27:D33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5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7" min="15" style="0" width="15"/>
    <col collapsed="false" customWidth="true" hidden="false" outlineLevel="0" max="18" min="18" style="0" width="16"/>
    <col collapsed="false" customWidth="true" hidden="false" outlineLevel="0" max="19" min="19" style="0" width="9"/>
    <col collapsed="false" customWidth="true" hidden="false" outlineLevel="0" max="20" min="20" style="0" width="5"/>
    <col collapsed="false" customWidth="true" hidden="false" outlineLevel="0" max="21" min="21" style="0" width="34"/>
    <col collapsed="false" customWidth="true" hidden="false" outlineLevel="0" max="23" min="22" style="0" width="40"/>
    <col collapsed="false" customWidth="true" hidden="false" outlineLevel="0" max="24" min="24" style="0" width="60"/>
  </cols>
  <sheetData>
    <row r="1" customFormat="false" ht="30" hidden="false" customHeight="true" outlineLevel="0" collapsed="false">
      <c r="A1" s="3" t="s">
        <v>90</v>
      </c>
      <c r="B1" s="3" t="s">
        <v>42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83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122</v>
      </c>
      <c r="P1" s="3" t="s">
        <v>123</v>
      </c>
      <c r="Q1" s="3" t="s">
        <v>124</v>
      </c>
      <c r="R1" s="3" t="s">
        <v>125</v>
      </c>
      <c r="S1" s="3" t="s">
        <v>49</v>
      </c>
      <c r="T1" s="3" t="s">
        <v>126</v>
      </c>
      <c r="U1" s="3" t="s">
        <v>127</v>
      </c>
      <c r="V1" s="3" t="s">
        <v>128</v>
      </c>
      <c r="W1" s="3" t="s">
        <v>129</v>
      </c>
      <c r="X1" s="3" t="s">
        <v>130</v>
      </c>
    </row>
    <row r="2" customFormat="false" ht="15" hidden="false" customHeight="false" outlineLevel="0" collapsed="false">
      <c r="A2" s="28" t="s">
        <v>131</v>
      </c>
      <c r="B2" s="28" t="s">
        <v>94</v>
      </c>
      <c r="C2" s="28" t="s">
        <v>132</v>
      </c>
      <c r="D2" s="29" t="n">
        <v>46312</v>
      </c>
      <c r="E2" s="37" t="n">
        <v>1</v>
      </c>
      <c r="F2" s="28" t="s">
        <v>133</v>
      </c>
      <c r="G2" s="28" t="s">
        <v>67</v>
      </c>
      <c r="H2" s="38" t="s">
        <v>77</v>
      </c>
      <c r="I2" s="10" t="n">
        <f aca="false">J2*IFERROR(INDEX(P_italia_outubro_2026!$C$27:$C$33,MATCH(B2,P_italia_outubro_2026!$A$27:$A$33,0)),1)</f>
        <v>67.0605</v>
      </c>
      <c r="J2" s="39" t="n">
        <v>95</v>
      </c>
      <c r="K2" s="10" t="n">
        <f aca="false">J2</f>
        <v>95</v>
      </c>
      <c r="L2" s="15" t="n">
        <f aca="false">IF(H2="econômico",I2,IF(H2="upgrade",K2,J2))</f>
        <v>95</v>
      </c>
      <c r="M2" s="6" t="n">
        <f aca="false">E2*IF(OR(F2="pessoa",F2="pessoa-noite"),P_italia_outubro_2026!$B$8,1)</f>
        <v>2</v>
      </c>
      <c r="N2" s="40" t="n">
        <f aca="false">IFERROR(INDEX(P_italia_outubro_2026!$B$22:$B$22,MATCH(G2,P_italia_outubro_2026!$A$22:$A$22,0)),1)*(1+IF(G2=P_italia_outubro_2026!$B$9,0,P_italia_outubro_2026!$B$14))</f>
        <v>1</v>
      </c>
      <c r="O2" s="10" t="n">
        <f aca="false">M2*I2*N2</f>
        <v>134.121</v>
      </c>
      <c r="P2" s="10" t="n">
        <f aca="false">M2*J2*N2</f>
        <v>190</v>
      </c>
      <c r="Q2" s="10" t="n">
        <f aca="false">M2*K2*N2</f>
        <v>190</v>
      </c>
      <c r="R2" s="15" t="n">
        <f aca="false">M2*L2*N2</f>
        <v>190</v>
      </c>
      <c r="S2" s="21" t="str">
        <f aca="false">IFERROR(INDEX(P_italia_outubro_2026!$D$27:$D$33,MATCH(B2,P_italia_outubro_2026!$A$27:$A$33,0)),"não")</f>
        <v>não</v>
      </c>
      <c r="T2" s="37"/>
      <c r="V2" s="20" t="s">
        <v>134</v>
      </c>
      <c r="W2" s="20" t="s">
        <v>135</v>
      </c>
      <c r="X2" s="20" t="s">
        <v>136</v>
      </c>
    </row>
    <row r="3" customFormat="false" ht="15" hidden="false" customHeight="false" outlineLevel="0" collapsed="false">
      <c r="A3" s="28" t="s">
        <v>137</v>
      </c>
      <c r="B3" s="28" t="s">
        <v>94</v>
      </c>
      <c r="C3" s="28" t="s">
        <v>138</v>
      </c>
      <c r="D3" s="29" t="n">
        <v>46319</v>
      </c>
      <c r="E3" s="37" t="n">
        <v>1</v>
      </c>
      <c r="F3" s="28" t="s">
        <v>133</v>
      </c>
      <c r="G3" s="28" t="s">
        <v>67</v>
      </c>
      <c r="H3" s="38" t="s">
        <v>77</v>
      </c>
      <c r="I3" s="10" t="n">
        <f aca="false">J3*IFERROR(INDEX(P_italia_outubro_2026!$C$27:$C$33,MATCH(B3,P_italia_outubro_2026!$A$27:$A$33,0)),1)</f>
        <v>52.9425</v>
      </c>
      <c r="J3" s="39" t="n">
        <v>75</v>
      </c>
      <c r="K3" s="10" t="n">
        <f aca="false">J3</f>
        <v>75</v>
      </c>
      <c r="L3" s="15" t="n">
        <f aca="false">IF(H3="econômico",I3,IF(H3="upgrade",K3,J3))</f>
        <v>75</v>
      </c>
      <c r="M3" s="6" t="n">
        <f aca="false">E3*IF(OR(F3="pessoa",F3="pessoa-noite"),P_italia_outubro_2026!$B$8,1)</f>
        <v>2</v>
      </c>
      <c r="N3" s="40" t="n">
        <f aca="false">IFERROR(INDEX(P_italia_outubro_2026!$B$22:$B$22,MATCH(G3,P_italia_outubro_2026!$A$22:$A$22,0)),1)*(1+IF(G3=P_italia_outubro_2026!$B$9,0,P_italia_outubro_2026!$B$14))</f>
        <v>1</v>
      </c>
      <c r="O3" s="10" t="n">
        <f aca="false">M3*I3*N3</f>
        <v>105.885</v>
      </c>
      <c r="P3" s="10" t="n">
        <f aca="false">M3*J3*N3</f>
        <v>150</v>
      </c>
      <c r="Q3" s="10" t="n">
        <f aca="false">M3*K3*N3</f>
        <v>150</v>
      </c>
      <c r="R3" s="15" t="n">
        <f aca="false">M3*L3*N3</f>
        <v>150</v>
      </c>
      <c r="S3" s="21" t="str">
        <f aca="false">IFERROR(INDEX(P_italia_outubro_2026!$D$27:$D$33,MATCH(B3,P_italia_outubro_2026!$A$27:$A$33,0)),"não")</f>
        <v>não</v>
      </c>
      <c r="T3" s="37"/>
      <c r="V3" s="20" t="s">
        <v>134</v>
      </c>
      <c r="W3" s="20" t="s">
        <v>135</v>
      </c>
      <c r="X3" s="20" t="s">
        <v>136</v>
      </c>
    </row>
    <row r="4" customFormat="false" ht="15" hidden="false" customHeight="false" outlineLevel="0" collapsed="false">
      <c r="A4" s="28" t="s">
        <v>139</v>
      </c>
      <c r="B4" s="28" t="s">
        <v>97</v>
      </c>
      <c r="C4" s="28" t="s">
        <v>140</v>
      </c>
      <c r="D4" s="29" t="n">
        <v>46312</v>
      </c>
      <c r="E4" s="37" t="n">
        <v>4</v>
      </c>
      <c r="F4" s="28" t="s">
        <v>141</v>
      </c>
      <c r="G4" s="28" t="s">
        <v>67</v>
      </c>
      <c r="H4" s="38" t="s">
        <v>77</v>
      </c>
      <c r="I4" s="10" t="n">
        <f aca="false">J4*IFERROR(INDEX(P_italia_outubro_2026!$C$27:$C$33,MATCH(B4,P_italia_outubro_2026!$A$27:$A$33,0)),1)</f>
        <v>101.016</v>
      </c>
      <c r="J4" s="39" t="n">
        <v>120</v>
      </c>
      <c r="K4" s="10" t="n">
        <f aca="false">J4</f>
        <v>120</v>
      </c>
      <c r="L4" s="15" t="n">
        <f aca="false">IF(H4="econômico",I4,IF(H4="upgrade",K4,J4))</f>
        <v>120</v>
      </c>
      <c r="M4" s="6" t="n">
        <f aca="false">E4*IF(OR(F4="pessoa",F4="pessoa-noite"),P_italia_outubro_2026!$B$8,1)</f>
        <v>4</v>
      </c>
      <c r="N4" s="40" t="n">
        <f aca="false">IFERROR(INDEX(P_italia_outubro_2026!$B$22:$B$22,MATCH(G4,P_italia_outubro_2026!$A$22:$A$22,0)),1)*(1+IF(G4=P_italia_outubro_2026!$B$9,0,P_italia_outubro_2026!$B$14))</f>
        <v>1</v>
      </c>
      <c r="O4" s="10" t="n">
        <f aca="false">M4*I4*N4</f>
        <v>404.064</v>
      </c>
      <c r="P4" s="10" t="n">
        <f aca="false">M4*J4*N4</f>
        <v>480</v>
      </c>
      <c r="Q4" s="10" t="n">
        <f aca="false">M4*K4*N4</f>
        <v>480</v>
      </c>
      <c r="R4" s="15" t="n">
        <f aca="false">M4*L4*N4</f>
        <v>480</v>
      </c>
      <c r="S4" s="21" t="str">
        <f aca="false">IFERROR(INDEX(P_italia_outubro_2026!$D$27:$D$33,MATCH(B4,P_italia_outubro_2026!$A$27:$A$33,0)),"não")</f>
        <v>não</v>
      </c>
      <c r="T4" s="37"/>
      <c r="V4" s="20" t="s">
        <v>134</v>
      </c>
      <c r="W4" s="20" t="s">
        <v>135</v>
      </c>
      <c r="X4" s="20" t="s">
        <v>142</v>
      </c>
    </row>
    <row r="5" customFormat="false" ht="15" hidden="false" customHeight="false" outlineLevel="0" collapsed="false">
      <c r="A5" s="28" t="s">
        <v>143</v>
      </c>
      <c r="B5" s="28" t="s">
        <v>97</v>
      </c>
      <c r="C5" s="28" t="s">
        <v>144</v>
      </c>
      <c r="D5" s="29" t="n">
        <v>46316</v>
      </c>
      <c r="E5" s="37" t="n">
        <v>3</v>
      </c>
      <c r="F5" s="28" t="s">
        <v>141</v>
      </c>
      <c r="G5" s="28" t="s">
        <v>67</v>
      </c>
      <c r="H5" s="38" t="s">
        <v>77</v>
      </c>
      <c r="I5" s="10" t="n">
        <f aca="false">J5*IFERROR(INDEX(P_italia_outubro_2026!$C$27:$C$33,MATCH(B5,P_italia_outubro_2026!$A$27:$A$33,0)),1)</f>
        <v>113.643</v>
      </c>
      <c r="J5" s="39" t="n">
        <v>135</v>
      </c>
      <c r="K5" s="10" t="n">
        <f aca="false">J5</f>
        <v>135</v>
      </c>
      <c r="L5" s="15" t="n">
        <f aca="false">IF(H5="econômico",I5,IF(H5="upgrade",K5,J5))</f>
        <v>135</v>
      </c>
      <c r="M5" s="6" t="n">
        <f aca="false">E5*IF(OR(F5="pessoa",F5="pessoa-noite"),P_italia_outubro_2026!$B$8,1)</f>
        <v>3</v>
      </c>
      <c r="N5" s="40" t="n">
        <f aca="false">IFERROR(INDEX(P_italia_outubro_2026!$B$22:$B$22,MATCH(G5,P_italia_outubro_2026!$A$22:$A$22,0)),1)*(1+IF(G5=P_italia_outubro_2026!$B$9,0,P_italia_outubro_2026!$B$14))</f>
        <v>1</v>
      </c>
      <c r="O5" s="10" t="n">
        <f aca="false">M5*I5*N5</f>
        <v>340.929</v>
      </c>
      <c r="P5" s="10" t="n">
        <f aca="false">M5*J5*N5</f>
        <v>405</v>
      </c>
      <c r="Q5" s="10" t="n">
        <f aca="false">M5*K5*N5</f>
        <v>405</v>
      </c>
      <c r="R5" s="15" t="n">
        <f aca="false">M5*L5*N5</f>
        <v>405</v>
      </c>
      <c r="S5" s="21" t="str">
        <f aca="false">IFERROR(INDEX(P_italia_outubro_2026!$D$27:$D$33,MATCH(B5,P_italia_outubro_2026!$A$27:$A$33,0)),"não")</f>
        <v>não</v>
      </c>
      <c r="T5" s="37"/>
      <c r="V5" s="20" t="s">
        <v>134</v>
      </c>
      <c r="W5" s="20" t="s">
        <v>135</v>
      </c>
      <c r="X5" s="20" t="s">
        <v>145</v>
      </c>
    </row>
    <row r="6" customFormat="false" ht="15" hidden="false" customHeight="false" outlineLevel="0" collapsed="false">
      <c r="A6" s="28" t="s">
        <v>146</v>
      </c>
      <c r="B6" s="28" t="s">
        <v>99</v>
      </c>
      <c r="C6" s="28" t="s">
        <v>147</v>
      </c>
      <c r="D6" s="29" t="n">
        <v>46312</v>
      </c>
      <c r="E6" s="37" t="n">
        <v>4</v>
      </c>
      <c r="F6" s="28" t="s">
        <v>148</v>
      </c>
      <c r="G6" s="28" t="s">
        <v>67</v>
      </c>
      <c r="H6" s="38" t="s">
        <v>77</v>
      </c>
      <c r="I6" s="10" t="n">
        <f aca="false">J6*IFERROR(INDEX(P_italia_outubro_2026!$C$27:$C$33,MATCH(B6,P_italia_outubro_2026!$A$27:$A$33,0)),1)</f>
        <v>5</v>
      </c>
      <c r="J6" s="39" t="n">
        <v>5</v>
      </c>
      <c r="K6" s="10" t="n">
        <f aca="false">J6</f>
        <v>5</v>
      </c>
      <c r="L6" s="15" t="n">
        <f aca="false">IF(H6="econômico",I6,IF(H6="upgrade",K6,J6))</f>
        <v>5</v>
      </c>
      <c r="M6" s="6" t="n">
        <f aca="false">E6*IF(OR(F6="pessoa",F6="pessoa-noite"),P_italia_outubro_2026!$B$8,1)</f>
        <v>8</v>
      </c>
      <c r="N6" s="40" t="n">
        <f aca="false">IFERROR(INDEX(P_italia_outubro_2026!$B$22:$B$22,MATCH(G6,P_italia_outubro_2026!$A$22:$A$22,0)),1)*(1+IF(G6=P_italia_outubro_2026!$B$9,0,P_italia_outubro_2026!$B$14))</f>
        <v>1</v>
      </c>
      <c r="O6" s="10" t="n">
        <f aca="false">M6*I6*N6</f>
        <v>40</v>
      </c>
      <c r="P6" s="10" t="n">
        <f aca="false">M6*J6*N6</f>
        <v>40</v>
      </c>
      <c r="Q6" s="10" t="n">
        <f aca="false">M6*K6*N6</f>
        <v>40</v>
      </c>
      <c r="R6" s="15" t="n">
        <f aca="false">M6*L6*N6</f>
        <v>40</v>
      </c>
      <c r="S6" s="21" t="str">
        <f aca="false">IFERROR(INDEX(P_italia_outubro_2026!$D$27:$D$33,MATCH(B6,P_italia_outubro_2026!$A$27:$A$33,0)),"não")</f>
        <v>não</v>
      </c>
      <c r="T6" s="37"/>
      <c r="V6" s="20" t="s">
        <v>134</v>
      </c>
      <c r="W6" s="20" t="s">
        <v>135</v>
      </c>
      <c r="X6" s="20" t="s">
        <v>149</v>
      </c>
    </row>
    <row r="7" customFormat="false" ht="15" hidden="false" customHeight="false" outlineLevel="0" collapsed="false">
      <c r="A7" s="28" t="s">
        <v>150</v>
      </c>
      <c r="B7" s="28" t="s">
        <v>99</v>
      </c>
      <c r="C7" s="28" t="s">
        <v>151</v>
      </c>
      <c r="D7" s="29" t="n">
        <v>46316</v>
      </c>
      <c r="E7" s="37" t="n">
        <v>3</v>
      </c>
      <c r="F7" s="28" t="s">
        <v>148</v>
      </c>
      <c r="G7" s="28" t="s">
        <v>67</v>
      </c>
      <c r="H7" s="38" t="s">
        <v>77</v>
      </c>
      <c r="I7" s="10" t="n">
        <f aca="false">J7*IFERROR(INDEX(P_italia_outubro_2026!$C$27:$C$33,MATCH(B7,P_italia_outubro_2026!$A$27:$A$33,0)),1)</f>
        <v>6</v>
      </c>
      <c r="J7" s="39" t="n">
        <v>6</v>
      </c>
      <c r="K7" s="10" t="n">
        <f aca="false">J7</f>
        <v>6</v>
      </c>
      <c r="L7" s="15" t="n">
        <f aca="false">IF(H7="econômico",I7,IF(H7="upgrade",K7,J7))</f>
        <v>6</v>
      </c>
      <c r="M7" s="6" t="n">
        <f aca="false">E7*IF(OR(F7="pessoa",F7="pessoa-noite"),P_italia_outubro_2026!$B$8,1)</f>
        <v>6</v>
      </c>
      <c r="N7" s="40" t="n">
        <f aca="false">IFERROR(INDEX(P_italia_outubro_2026!$B$22:$B$22,MATCH(G7,P_italia_outubro_2026!$A$22:$A$22,0)),1)*(1+IF(G7=P_italia_outubro_2026!$B$9,0,P_italia_outubro_2026!$B$14))</f>
        <v>1</v>
      </c>
      <c r="O7" s="10" t="n">
        <f aca="false">M7*I7*N7</f>
        <v>36</v>
      </c>
      <c r="P7" s="10" t="n">
        <f aca="false">M7*J7*N7</f>
        <v>36</v>
      </c>
      <c r="Q7" s="10" t="n">
        <f aca="false">M7*K7*N7</f>
        <v>36</v>
      </c>
      <c r="R7" s="15" t="n">
        <f aca="false">M7*L7*N7</f>
        <v>36</v>
      </c>
      <c r="S7" s="21" t="str">
        <f aca="false">IFERROR(INDEX(P_italia_outubro_2026!$D$27:$D$33,MATCH(B7,P_italia_outubro_2026!$A$27:$A$33,0)),"não")</f>
        <v>não</v>
      </c>
      <c r="T7" s="37"/>
      <c r="V7" s="20" t="s">
        <v>134</v>
      </c>
      <c r="W7" s="20" t="s">
        <v>135</v>
      </c>
      <c r="X7" s="20" t="s">
        <v>149</v>
      </c>
    </row>
    <row r="8" customFormat="false" ht="15" hidden="false" customHeight="false" outlineLevel="0" collapsed="false">
      <c r="A8" s="28" t="s">
        <v>152</v>
      </c>
      <c r="B8" s="28" t="s">
        <v>101</v>
      </c>
      <c r="C8" s="28" t="s">
        <v>153</v>
      </c>
      <c r="D8" s="29" t="n">
        <v>46312</v>
      </c>
      <c r="E8" s="37" t="n">
        <v>1</v>
      </c>
      <c r="F8" s="28" t="s">
        <v>133</v>
      </c>
      <c r="G8" s="28" t="s">
        <v>67</v>
      </c>
      <c r="H8" s="38" t="s">
        <v>77</v>
      </c>
      <c r="I8" s="10" t="n">
        <f aca="false">J8*IFERROR(INDEX(P_italia_outubro_2026!$C$27:$C$33,MATCH(B8,P_italia_outubro_2026!$A$27:$A$33,0)),1)</f>
        <v>8</v>
      </c>
      <c r="J8" s="39" t="n">
        <v>8</v>
      </c>
      <c r="K8" s="10" t="n">
        <f aca="false">J8</f>
        <v>8</v>
      </c>
      <c r="L8" s="15" t="n">
        <f aca="false">IF(H8="econômico",I8,IF(H8="upgrade",K8,J8))</f>
        <v>8</v>
      </c>
      <c r="M8" s="6" t="n">
        <f aca="false">E8*IF(OR(F8="pessoa",F8="pessoa-noite"),P_italia_outubro_2026!$B$8,1)</f>
        <v>2</v>
      </c>
      <c r="N8" s="40" t="n">
        <f aca="false">IFERROR(INDEX(P_italia_outubro_2026!$B$22:$B$22,MATCH(G8,P_italia_outubro_2026!$A$22:$A$22,0)),1)*(1+IF(G8=P_italia_outubro_2026!$B$9,0,P_italia_outubro_2026!$B$14))</f>
        <v>1</v>
      </c>
      <c r="O8" s="10" t="n">
        <f aca="false">M8*I8*N8</f>
        <v>16</v>
      </c>
      <c r="P8" s="10" t="n">
        <f aca="false">M8*J8*N8</f>
        <v>16</v>
      </c>
      <c r="Q8" s="10" t="n">
        <f aca="false">M8*K8*N8</f>
        <v>16</v>
      </c>
      <c r="R8" s="15" t="n">
        <f aca="false">M8*L8*N8</f>
        <v>16</v>
      </c>
      <c r="S8" s="21" t="str">
        <f aca="false">IFERROR(INDEX(P_italia_outubro_2026!$D$27:$D$33,MATCH(B8,P_italia_outubro_2026!$A$27:$A$33,0)),"não")</f>
        <v>sim</v>
      </c>
      <c r="T8" s="37" t="n">
        <v>1</v>
      </c>
      <c r="V8" s="20" t="s">
        <v>134</v>
      </c>
      <c r="W8" s="20" t="s">
        <v>135</v>
      </c>
      <c r="X8" s="20"/>
    </row>
    <row r="9" customFormat="false" ht="15" hidden="false" customHeight="false" outlineLevel="0" collapsed="false">
      <c r="A9" s="28" t="s">
        <v>154</v>
      </c>
      <c r="B9" s="28" t="s">
        <v>101</v>
      </c>
      <c r="C9" s="28" t="s">
        <v>155</v>
      </c>
      <c r="D9" s="29" t="n">
        <v>46312</v>
      </c>
      <c r="E9" s="37" t="n">
        <v>1</v>
      </c>
      <c r="F9" s="28" t="s">
        <v>133</v>
      </c>
      <c r="G9" s="28" t="s">
        <v>67</v>
      </c>
      <c r="H9" s="38" t="s">
        <v>77</v>
      </c>
      <c r="I9" s="10" t="n">
        <f aca="false">J9*IFERROR(INDEX(P_italia_outubro_2026!$C$27:$C$33,MATCH(B9,P_italia_outubro_2026!$A$27:$A$33,0)),1)</f>
        <v>32</v>
      </c>
      <c r="J9" s="39" t="n">
        <v>32</v>
      </c>
      <c r="K9" s="10" t="n">
        <f aca="false">J9</f>
        <v>32</v>
      </c>
      <c r="L9" s="15" t="n">
        <f aca="false">IF(H9="econômico",I9,IF(H9="upgrade",K9,J9))</f>
        <v>32</v>
      </c>
      <c r="M9" s="6" t="n">
        <f aca="false">E9*IF(OR(F9="pessoa",F9="pessoa-noite"),P_italia_outubro_2026!$B$8,1)</f>
        <v>2</v>
      </c>
      <c r="N9" s="40" t="n">
        <f aca="false">IFERROR(INDEX(P_italia_outubro_2026!$B$22:$B$22,MATCH(G9,P_italia_outubro_2026!$A$22:$A$22,0)),1)*(1+IF(G9=P_italia_outubro_2026!$B$9,0,P_italia_outubro_2026!$B$14))</f>
        <v>1</v>
      </c>
      <c r="O9" s="10" t="n">
        <f aca="false">M9*I9*N9</f>
        <v>64</v>
      </c>
      <c r="P9" s="10" t="n">
        <f aca="false">M9*J9*N9</f>
        <v>64</v>
      </c>
      <c r="Q9" s="10" t="n">
        <f aca="false">M9*K9*N9</f>
        <v>64</v>
      </c>
      <c r="R9" s="15" t="n">
        <f aca="false">M9*L9*N9</f>
        <v>64</v>
      </c>
      <c r="S9" s="21" t="str">
        <f aca="false">IFERROR(INDEX(P_italia_outubro_2026!$D$27:$D$33,MATCH(B9,P_italia_outubro_2026!$A$27:$A$33,0)),"não")</f>
        <v>sim</v>
      </c>
      <c r="T9" s="37" t="n">
        <v>1</v>
      </c>
      <c r="V9" s="20" t="s">
        <v>134</v>
      </c>
      <c r="W9" s="20" t="s">
        <v>135</v>
      </c>
      <c r="X9" s="20" t="s">
        <v>156</v>
      </c>
    </row>
    <row r="10" customFormat="false" ht="15" hidden="false" customHeight="false" outlineLevel="0" collapsed="false">
      <c r="A10" s="28" t="s">
        <v>157</v>
      </c>
      <c r="B10" s="28" t="s">
        <v>101</v>
      </c>
      <c r="C10" s="28" t="s">
        <v>158</v>
      </c>
      <c r="D10" s="29" t="n">
        <v>46313</v>
      </c>
      <c r="E10" s="37" t="n">
        <v>1</v>
      </c>
      <c r="F10" s="28" t="s">
        <v>133</v>
      </c>
      <c r="G10" s="28" t="s">
        <v>67</v>
      </c>
      <c r="H10" s="38" t="s">
        <v>77</v>
      </c>
      <c r="I10" s="10" t="n">
        <f aca="false">J10*IFERROR(INDEX(P_italia_outubro_2026!$C$27:$C$33,MATCH(B10,P_italia_outubro_2026!$A$27:$A$33,0)),1)</f>
        <v>30</v>
      </c>
      <c r="J10" s="39" t="n">
        <v>30</v>
      </c>
      <c r="K10" s="10" t="n">
        <f aca="false">J10</f>
        <v>30</v>
      </c>
      <c r="L10" s="15" t="n">
        <f aca="false">IF(H10="econômico",I10,IF(H10="upgrade",K10,J10))</f>
        <v>30</v>
      </c>
      <c r="M10" s="6" t="n">
        <f aca="false">E10*IF(OR(F10="pessoa",F10="pessoa-noite"),P_italia_outubro_2026!$B$8,1)</f>
        <v>2</v>
      </c>
      <c r="N10" s="40" t="n">
        <f aca="false">IFERROR(INDEX(P_italia_outubro_2026!$B$22:$B$22,MATCH(G10,P_italia_outubro_2026!$A$22:$A$22,0)),1)*(1+IF(G10=P_italia_outubro_2026!$B$9,0,P_italia_outubro_2026!$B$14))</f>
        <v>1</v>
      </c>
      <c r="O10" s="10" t="n">
        <f aca="false">M10*I10*N10</f>
        <v>60</v>
      </c>
      <c r="P10" s="10" t="n">
        <f aca="false">M10*J10*N10</f>
        <v>60</v>
      </c>
      <c r="Q10" s="10" t="n">
        <f aca="false">M10*K10*N10</f>
        <v>60</v>
      </c>
      <c r="R10" s="15" t="n">
        <f aca="false">M10*L10*N10</f>
        <v>60</v>
      </c>
      <c r="S10" s="21" t="str">
        <f aca="false">IFERROR(INDEX(P_italia_outubro_2026!$D$27:$D$33,MATCH(B10,P_italia_outubro_2026!$A$27:$A$33,0)),"não")</f>
        <v>sim</v>
      </c>
      <c r="T10" s="37" t="n">
        <v>2</v>
      </c>
      <c r="V10" s="20" t="s">
        <v>134</v>
      </c>
      <c r="W10" s="20" t="s">
        <v>135</v>
      </c>
      <c r="X10" s="20"/>
    </row>
    <row r="11" customFormat="false" ht="15" hidden="false" customHeight="false" outlineLevel="0" collapsed="false">
      <c r="A11" s="28" t="s">
        <v>159</v>
      </c>
      <c r="B11" s="28" t="s">
        <v>101</v>
      </c>
      <c r="C11" s="28" t="s">
        <v>160</v>
      </c>
      <c r="D11" s="29" t="n">
        <v>46313</v>
      </c>
      <c r="E11" s="37" t="n">
        <v>1</v>
      </c>
      <c r="F11" s="28" t="s">
        <v>133</v>
      </c>
      <c r="G11" s="28" t="s">
        <v>67</v>
      </c>
      <c r="H11" s="38" t="s">
        <v>77</v>
      </c>
      <c r="I11" s="10" t="n">
        <f aca="false">J11*IFERROR(INDEX(P_italia_outubro_2026!$C$27:$C$33,MATCH(B11,P_italia_outubro_2026!$A$27:$A$33,0)),1)</f>
        <v>10</v>
      </c>
      <c r="J11" s="39" t="n">
        <v>10</v>
      </c>
      <c r="K11" s="10" t="n">
        <f aca="false">J11</f>
        <v>10</v>
      </c>
      <c r="L11" s="15" t="n">
        <f aca="false">IF(H11="econômico",I11,IF(H11="upgrade",K11,J11))</f>
        <v>10</v>
      </c>
      <c r="M11" s="6" t="n">
        <f aca="false">E11*IF(OR(F11="pessoa",F11="pessoa-noite"),P_italia_outubro_2026!$B$8,1)</f>
        <v>2</v>
      </c>
      <c r="N11" s="40" t="n">
        <f aca="false">IFERROR(INDEX(P_italia_outubro_2026!$B$22:$B$22,MATCH(G11,P_italia_outubro_2026!$A$22:$A$22,0)),1)*(1+IF(G11=P_italia_outubro_2026!$B$9,0,P_italia_outubro_2026!$B$14))</f>
        <v>1</v>
      </c>
      <c r="O11" s="10" t="n">
        <f aca="false">M11*I11*N11</f>
        <v>20</v>
      </c>
      <c r="P11" s="10" t="n">
        <f aca="false">M11*J11*N11</f>
        <v>20</v>
      </c>
      <c r="Q11" s="10" t="n">
        <f aca="false">M11*K11*N11</f>
        <v>20</v>
      </c>
      <c r="R11" s="15" t="n">
        <f aca="false">M11*L11*N11</f>
        <v>20</v>
      </c>
      <c r="S11" s="21" t="str">
        <f aca="false">IFERROR(INDEX(P_italia_outubro_2026!$D$27:$D$33,MATCH(B11,P_italia_outubro_2026!$A$27:$A$33,0)),"não")</f>
        <v>sim</v>
      </c>
      <c r="T11" s="37" t="n">
        <v>2</v>
      </c>
      <c r="V11" s="20" t="s">
        <v>134</v>
      </c>
      <c r="W11" s="20" t="s">
        <v>135</v>
      </c>
      <c r="X11" s="20"/>
    </row>
    <row r="12" customFormat="false" ht="15" hidden="false" customHeight="false" outlineLevel="0" collapsed="false">
      <c r="A12" s="28" t="s">
        <v>161</v>
      </c>
      <c r="B12" s="28" t="s">
        <v>101</v>
      </c>
      <c r="C12" s="28" t="s">
        <v>162</v>
      </c>
      <c r="D12" s="29" t="n">
        <v>46314</v>
      </c>
      <c r="E12" s="37" t="n">
        <v>1</v>
      </c>
      <c r="F12" s="28" t="s">
        <v>133</v>
      </c>
      <c r="G12" s="28" t="s">
        <v>67</v>
      </c>
      <c r="H12" s="38" t="s">
        <v>77</v>
      </c>
      <c r="I12" s="10" t="n">
        <f aca="false">J12*IFERROR(INDEX(P_italia_outubro_2026!$C$27:$C$33,MATCH(B12,P_italia_outubro_2026!$A$27:$A$33,0)),1)</f>
        <v>15</v>
      </c>
      <c r="J12" s="39" t="n">
        <v>15</v>
      </c>
      <c r="K12" s="10" t="n">
        <f aca="false">J12</f>
        <v>15</v>
      </c>
      <c r="L12" s="15" t="n">
        <f aca="false">IF(H12="econômico",I12,IF(H12="upgrade",K12,J12))</f>
        <v>15</v>
      </c>
      <c r="M12" s="6" t="n">
        <f aca="false">E12*IF(OR(F12="pessoa",F12="pessoa-noite"),P_italia_outubro_2026!$B$8,1)</f>
        <v>2</v>
      </c>
      <c r="N12" s="40" t="n">
        <f aca="false">IFERROR(INDEX(P_italia_outubro_2026!$B$22:$B$22,MATCH(G12,P_italia_outubro_2026!$A$22:$A$22,0)),1)*(1+IF(G12=P_italia_outubro_2026!$B$9,0,P_italia_outubro_2026!$B$14))</f>
        <v>1</v>
      </c>
      <c r="O12" s="10" t="n">
        <f aca="false">M12*I12*N12</f>
        <v>30</v>
      </c>
      <c r="P12" s="10" t="n">
        <f aca="false">M12*J12*N12</f>
        <v>30</v>
      </c>
      <c r="Q12" s="10" t="n">
        <f aca="false">M12*K12*N12</f>
        <v>30</v>
      </c>
      <c r="R12" s="15" t="n">
        <f aca="false">M12*L12*N12</f>
        <v>30</v>
      </c>
      <c r="S12" s="21" t="str">
        <f aca="false">IFERROR(INDEX(P_italia_outubro_2026!$D$27:$D$33,MATCH(B12,P_italia_outubro_2026!$A$27:$A$33,0)),"não")</f>
        <v>sim</v>
      </c>
      <c r="T12" s="37" t="n">
        <v>3</v>
      </c>
      <c r="V12" s="20" t="s">
        <v>134</v>
      </c>
      <c r="W12" s="20" t="s">
        <v>135</v>
      </c>
      <c r="X12" s="20"/>
    </row>
    <row r="13" customFormat="false" ht="15" hidden="false" customHeight="false" outlineLevel="0" collapsed="false">
      <c r="A13" s="28" t="s">
        <v>163</v>
      </c>
      <c r="B13" s="28" t="s">
        <v>101</v>
      </c>
      <c r="C13" s="28" t="s">
        <v>164</v>
      </c>
      <c r="D13" s="29" t="n">
        <v>46314</v>
      </c>
      <c r="E13" s="37" t="n">
        <v>1</v>
      </c>
      <c r="F13" s="28" t="s">
        <v>133</v>
      </c>
      <c r="G13" s="28" t="s">
        <v>67</v>
      </c>
      <c r="H13" s="38" t="s">
        <v>77</v>
      </c>
      <c r="I13" s="10" t="n">
        <f aca="false">J13*IFERROR(INDEX(P_italia_outubro_2026!$C$27:$C$33,MATCH(B13,P_italia_outubro_2026!$A$27:$A$33,0)),1)</f>
        <v>28</v>
      </c>
      <c r="J13" s="39" t="n">
        <v>28</v>
      </c>
      <c r="K13" s="10" t="n">
        <f aca="false">J13</f>
        <v>28</v>
      </c>
      <c r="L13" s="15" t="n">
        <f aca="false">IF(H13="econômico",I13,IF(H13="upgrade",K13,J13))</f>
        <v>28</v>
      </c>
      <c r="M13" s="6" t="n">
        <f aca="false">E13*IF(OR(F13="pessoa",F13="pessoa-noite"),P_italia_outubro_2026!$B$8,1)</f>
        <v>2</v>
      </c>
      <c r="N13" s="40" t="n">
        <f aca="false">IFERROR(INDEX(P_italia_outubro_2026!$B$22:$B$22,MATCH(G13,P_italia_outubro_2026!$A$22:$A$22,0)),1)*(1+IF(G13=P_italia_outubro_2026!$B$9,0,P_italia_outubro_2026!$B$14))</f>
        <v>1</v>
      </c>
      <c r="O13" s="10" t="n">
        <f aca="false">M13*I13*N13</f>
        <v>56</v>
      </c>
      <c r="P13" s="10" t="n">
        <f aca="false">M13*J13*N13</f>
        <v>56</v>
      </c>
      <c r="Q13" s="10" t="n">
        <f aca="false">M13*K13*N13</f>
        <v>56</v>
      </c>
      <c r="R13" s="15" t="n">
        <f aca="false">M13*L13*N13</f>
        <v>56</v>
      </c>
      <c r="S13" s="21" t="str">
        <f aca="false">IFERROR(INDEX(P_italia_outubro_2026!$D$27:$D$33,MATCH(B13,P_italia_outubro_2026!$A$27:$A$33,0)),"não")</f>
        <v>sim</v>
      </c>
      <c r="T13" s="37" t="n">
        <v>3</v>
      </c>
      <c r="V13" s="20" t="s">
        <v>134</v>
      </c>
      <c r="W13" s="20" t="s">
        <v>135</v>
      </c>
      <c r="X13" s="20" t="s">
        <v>165</v>
      </c>
    </row>
    <row r="14" customFormat="false" ht="15" hidden="false" customHeight="false" outlineLevel="0" collapsed="false">
      <c r="A14" s="28" t="s">
        <v>166</v>
      </c>
      <c r="B14" s="28" t="s">
        <v>101</v>
      </c>
      <c r="C14" s="28" t="s">
        <v>167</v>
      </c>
      <c r="D14" s="29" t="n">
        <v>46315</v>
      </c>
      <c r="E14" s="37" t="n">
        <v>1</v>
      </c>
      <c r="F14" s="28" t="s">
        <v>133</v>
      </c>
      <c r="G14" s="28" t="s">
        <v>67</v>
      </c>
      <c r="H14" s="38" t="s">
        <v>77</v>
      </c>
      <c r="I14" s="10" t="n">
        <f aca="false">J14*IFERROR(INDEX(P_italia_outubro_2026!$C$27:$C$33,MATCH(B14,P_italia_outubro_2026!$A$27:$A$33,0)),1)</f>
        <v>8</v>
      </c>
      <c r="J14" s="39" t="n">
        <v>8</v>
      </c>
      <c r="K14" s="10" t="n">
        <f aca="false">J14</f>
        <v>8</v>
      </c>
      <c r="L14" s="15" t="n">
        <f aca="false">IF(H14="econômico",I14,IF(H14="upgrade",K14,J14))</f>
        <v>8</v>
      </c>
      <c r="M14" s="6" t="n">
        <f aca="false">E14*IF(OR(F14="pessoa",F14="pessoa-noite"),P_italia_outubro_2026!$B$8,1)</f>
        <v>2</v>
      </c>
      <c r="N14" s="40" t="n">
        <f aca="false">IFERROR(INDEX(P_italia_outubro_2026!$B$22:$B$22,MATCH(G14,P_italia_outubro_2026!$A$22:$A$22,0)),1)*(1+IF(G14=P_italia_outubro_2026!$B$9,0,P_italia_outubro_2026!$B$14))</f>
        <v>1</v>
      </c>
      <c r="O14" s="10" t="n">
        <f aca="false">M14*I14*N14</f>
        <v>16</v>
      </c>
      <c r="P14" s="10" t="n">
        <f aca="false">M14*J14*N14</f>
        <v>16</v>
      </c>
      <c r="Q14" s="10" t="n">
        <f aca="false">M14*K14*N14</f>
        <v>16</v>
      </c>
      <c r="R14" s="15" t="n">
        <f aca="false">M14*L14*N14</f>
        <v>16</v>
      </c>
      <c r="S14" s="21" t="str">
        <f aca="false">IFERROR(INDEX(P_italia_outubro_2026!$D$27:$D$33,MATCH(B14,P_italia_outubro_2026!$A$27:$A$33,0)),"não")</f>
        <v>sim</v>
      </c>
      <c r="T14" s="37" t="n">
        <v>4</v>
      </c>
      <c r="V14" s="20" t="s">
        <v>134</v>
      </c>
      <c r="W14" s="20" t="s">
        <v>135</v>
      </c>
      <c r="X14" s="20" t="s">
        <v>168</v>
      </c>
    </row>
    <row r="15" customFormat="false" ht="15" hidden="false" customHeight="false" outlineLevel="0" collapsed="false">
      <c r="A15" s="28" t="s">
        <v>169</v>
      </c>
      <c r="B15" s="28" t="s">
        <v>101</v>
      </c>
      <c r="C15" s="28" t="s">
        <v>170</v>
      </c>
      <c r="D15" s="29" t="n">
        <v>46315</v>
      </c>
      <c r="E15" s="37" t="n">
        <v>1</v>
      </c>
      <c r="F15" s="28" t="s">
        <v>133</v>
      </c>
      <c r="G15" s="28" t="s">
        <v>67</v>
      </c>
      <c r="H15" s="38" t="s">
        <v>77</v>
      </c>
      <c r="I15" s="10" t="n">
        <f aca="false">J15*IFERROR(INDEX(P_italia_outubro_2026!$C$27:$C$33,MATCH(B15,P_italia_outubro_2026!$A$27:$A$33,0)),1)</f>
        <v>22</v>
      </c>
      <c r="J15" s="39" t="n">
        <v>22</v>
      </c>
      <c r="K15" s="10" t="n">
        <f aca="false">J15</f>
        <v>22</v>
      </c>
      <c r="L15" s="15" t="n">
        <f aca="false">IF(H15="econômico",I15,IF(H15="upgrade",K15,J15))</f>
        <v>22</v>
      </c>
      <c r="M15" s="6" t="n">
        <f aca="false">E15*IF(OR(F15="pessoa",F15="pessoa-noite"),P_italia_outubro_2026!$B$8,1)</f>
        <v>2</v>
      </c>
      <c r="N15" s="40" t="n">
        <f aca="false">IFERROR(INDEX(P_italia_outubro_2026!$B$22:$B$22,MATCH(G15,P_italia_outubro_2026!$A$22:$A$22,0)),1)*(1+IF(G15=P_italia_outubro_2026!$B$9,0,P_italia_outubro_2026!$B$14))</f>
        <v>1</v>
      </c>
      <c r="O15" s="10" t="n">
        <f aca="false">M15*I15*N15</f>
        <v>44</v>
      </c>
      <c r="P15" s="10" t="n">
        <f aca="false">M15*J15*N15</f>
        <v>44</v>
      </c>
      <c r="Q15" s="10" t="n">
        <f aca="false">M15*K15*N15</f>
        <v>44</v>
      </c>
      <c r="R15" s="15" t="n">
        <f aca="false">M15*L15*N15</f>
        <v>44</v>
      </c>
      <c r="S15" s="21" t="str">
        <f aca="false">IFERROR(INDEX(P_italia_outubro_2026!$D$27:$D$33,MATCH(B15,P_italia_outubro_2026!$A$27:$A$33,0)),"não")</f>
        <v>sim</v>
      </c>
      <c r="T15" s="37" t="n">
        <v>4</v>
      </c>
      <c r="V15" s="20" t="s">
        <v>134</v>
      </c>
      <c r="W15" s="20" t="s">
        <v>135</v>
      </c>
      <c r="X15" s="20"/>
    </row>
    <row r="16" customFormat="false" ht="15" hidden="false" customHeight="false" outlineLevel="0" collapsed="false">
      <c r="A16" s="28" t="s">
        <v>171</v>
      </c>
      <c r="B16" s="28" t="s">
        <v>101</v>
      </c>
      <c r="C16" s="28" t="s">
        <v>172</v>
      </c>
      <c r="D16" s="29" t="n">
        <v>46316</v>
      </c>
      <c r="E16" s="37" t="n">
        <v>1</v>
      </c>
      <c r="F16" s="28" t="s">
        <v>133</v>
      </c>
      <c r="G16" s="28" t="s">
        <v>67</v>
      </c>
      <c r="H16" s="38" t="s">
        <v>77</v>
      </c>
      <c r="I16" s="10" t="n">
        <f aca="false">J16*IFERROR(INDEX(P_italia_outubro_2026!$C$27:$C$33,MATCH(B16,P_italia_outubro_2026!$A$27:$A$33,0)),1)</f>
        <v>7</v>
      </c>
      <c r="J16" s="39" t="n">
        <v>7</v>
      </c>
      <c r="K16" s="10" t="n">
        <f aca="false">J16</f>
        <v>7</v>
      </c>
      <c r="L16" s="15" t="n">
        <f aca="false">IF(H16="econômico",I16,IF(H16="upgrade",K16,J16))</f>
        <v>7</v>
      </c>
      <c r="M16" s="6" t="n">
        <f aca="false">E16*IF(OR(F16="pessoa",F16="pessoa-noite"),P_italia_outubro_2026!$B$8,1)</f>
        <v>2</v>
      </c>
      <c r="N16" s="40" t="n">
        <f aca="false">IFERROR(INDEX(P_italia_outubro_2026!$B$22:$B$22,MATCH(G16,P_italia_outubro_2026!$A$22:$A$22,0)),1)*(1+IF(G16=P_italia_outubro_2026!$B$9,0,P_italia_outubro_2026!$B$14))</f>
        <v>1</v>
      </c>
      <c r="O16" s="10" t="n">
        <f aca="false">M16*I16*N16</f>
        <v>14</v>
      </c>
      <c r="P16" s="10" t="n">
        <f aca="false">M16*J16*N16</f>
        <v>14</v>
      </c>
      <c r="Q16" s="10" t="n">
        <f aca="false">M16*K16*N16</f>
        <v>14</v>
      </c>
      <c r="R16" s="15" t="n">
        <f aca="false">M16*L16*N16</f>
        <v>14</v>
      </c>
      <c r="S16" s="21" t="str">
        <f aca="false">IFERROR(INDEX(P_italia_outubro_2026!$D$27:$D$33,MATCH(B16,P_italia_outubro_2026!$A$27:$A$33,0)),"não")</f>
        <v>sim</v>
      </c>
      <c r="T16" s="37" t="n">
        <v>5</v>
      </c>
      <c r="V16" s="20" t="s">
        <v>134</v>
      </c>
      <c r="W16" s="20" t="s">
        <v>135</v>
      </c>
      <c r="X16" s="20"/>
    </row>
    <row r="17" customFormat="false" ht="15" hidden="false" customHeight="false" outlineLevel="0" collapsed="false">
      <c r="A17" s="28" t="s">
        <v>173</v>
      </c>
      <c r="B17" s="28" t="s">
        <v>101</v>
      </c>
      <c r="C17" s="28" t="s">
        <v>174</v>
      </c>
      <c r="D17" s="29" t="n">
        <v>46316</v>
      </c>
      <c r="E17" s="37" t="n">
        <v>1</v>
      </c>
      <c r="F17" s="28" t="s">
        <v>133</v>
      </c>
      <c r="G17" s="28" t="s">
        <v>67</v>
      </c>
      <c r="H17" s="38" t="s">
        <v>77</v>
      </c>
      <c r="I17" s="10" t="n">
        <f aca="false">J17*IFERROR(INDEX(P_italia_outubro_2026!$C$27:$C$33,MATCH(B17,P_italia_outubro_2026!$A$27:$A$33,0)),1)</f>
        <v>30</v>
      </c>
      <c r="J17" s="39" t="n">
        <v>30</v>
      </c>
      <c r="K17" s="10" t="n">
        <f aca="false">J17</f>
        <v>30</v>
      </c>
      <c r="L17" s="15" t="n">
        <f aca="false">IF(H17="econômico",I17,IF(H17="upgrade",K17,J17))</f>
        <v>30</v>
      </c>
      <c r="M17" s="6" t="n">
        <f aca="false">E17*IF(OR(F17="pessoa",F17="pessoa-noite"),P_italia_outubro_2026!$B$8,1)</f>
        <v>2</v>
      </c>
      <c r="N17" s="40" t="n">
        <f aca="false">IFERROR(INDEX(P_italia_outubro_2026!$B$22:$B$22,MATCH(G17,P_italia_outubro_2026!$A$22:$A$22,0)),1)*(1+IF(G17=P_italia_outubro_2026!$B$9,0,P_italia_outubro_2026!$B$14))</f>
        <v>1</v>
      </c>
      <c r="O17" s="10" t="n">
        <f aca="false">M17*I17*N17</f>
        <v>60</v>
      </c>
      <c r="P17" s="10" t="n">
        <f aca="false">M17*J17*N17</f>
        <v>60</v>
      </c>
      <c r="Q17" s="10" t="n">
        <f aca="false">M17*K17*N17</f>
        <v>60</v>
      </c>
      <c r="R17" s="15" t="n">
        <f aca="false">M17*L17*N17</f>
        <v>60</v>
      </c>
      <c r="S17" s="21" t="str">
        <f aca="false">IFERROR(INDEX(P_italia_outubro_2026!$D$27:$D$33,MATCH(B17,P_italia_outubro_2026!$A$27:$A$33,0)),"não")</f>
        <v>sim</v>
      </c>
      <c r="T17" s="37" t="n">
        <v>5</v>
      </c>
      <c r="V17" s="20" t="s">
        <v>134</v>
      </c>
      <c r="W17" s="20" t="s">
        <v>135</v>
      </c>
      <c r="X17" s="20" t="s">
        <v>175</v>
      </c>
    </row>
    <row r="18" customFormat="false" ht="15" hidden="false" customHeight="false" outlineLevel="0" collapsed="false">
      <c r="A18" s="28" t="s">
        <v>176</v>
      </c>
      <c r="B18" s="28" t="s">
        <v>101</v>
      </c>
      <c r="C18" s="28" t="s">
        <v>177</v>
      </c>
      <c r="D18" s="29" t="n">
        <v>46317</v>
      </c>
      <c r="E18" s="37" t="n">
        <v>1</v>
      </c>
      <c r="F18" s="28" t="s">
        <v>133</v>
      </c>
      <c r="G18" s="28" t="s">
        <v>67</v>
      </c>
      <c r="H18" s="38" t="s">
        <v>77</v>
      </c>
      <c r="I18" s="10" t="n">
        <f aca="false">J18*IFERROR(INDEX(P_italia_outubro_2026!$C$27:$C$33,MATCH(B18,P_italia_outubro_2026!$A$27:$A$33,0)),1)</f>
        <v>32</v>
      </c>
      <c r="J18" s="39" t="n">
        <v>32</v>
      </c>
      <c r="K18" s="10" t="n">
        <f aca="false">J18</f>
        <v>32</v>
      </c>
      <c r="L18" s="15" t="n">
        <f aca="false">IF(H18="econômico",I18,IF(H18="upgrade",K18,J18))</f>
        <v>32</v>
      </c>
      <c r="M18" s="6" t="n">
        <f aca="false">E18*IF(OR(F18="pessoa",F18="pessoa-noite"),P_italia_outubro_2026!$B$8,1)</f>
        <v>2</v>
      </c>
      <c r="N18" s="40" t="n">
        <f aca="false">IFERROR(INDEX(P_italia_outubro_2026!$B$22:$B$22,MATCH(G18,P_italia_outubro_2026!$A$22:$A$22,0)),1)*(1+IF(G18=P_italia_outubro_2026!$B$9,0,P_italia_outubro_2026!$B$14))</f>
        <v>1</v>
      </c>
      <c r="O18" s="10" t="n">
        <f aca="false">M18*I18*N18</f>
        <v>64</v>
      </c>
      <c r="P18" s="10" t="n">
        <f aca="false">M18*J18*N18</f>
        <v>64</v>
      </c>
      <c r="Q18" s="10" t="n">
        <f aca="false">M18*K18*N18</f>
        <v>64</v>
      </c>
      <c r="R18" s="15" t="n">
        <f aca="false">M18*L18*N18</f>
        <v>64</v>
      </c>
      <c r="S18" s="21" t="str">
        <f aca="false">IFERROR(INDEX(P_italia_outubro_2026!$D$27:$D$33,MATCH(B18,P_italia_outubro_2026!$A$27:$A$33,0)),"não")</f>
        <v>sim</v>
      </c>
      <c r="T18" s="37" t="n">
        <v>6</v>
      </c>
      <c r="V18" s="20" t="s">
        <v>134</v>
      </c>
      <c r="W18" s="20" t="s">
        <v>135</v>
      </c>
      <c r="X18" s="20"/>
    </row>
    <row r="19" customFormat="false" ht="15" hidden="false" customHeight="false" outlineLevel="0" collapsed="false">
      <c r="A19" s="28" t="s">
        <v>178</v>
      </c>
      <c r="B19" s="28" t="s">
        <v>101</v>
      </c>
      <c r="C19" s="28" t="s">
        <v>179</v>
      </c>
      <c r="D19" s="29" t="n">
        <v>46317</v>
      </c>
      <c r="E19" s="37" t="n">
        <v>1</v>
      </c>
      <c r="F19" s="28" t="s">
        <v>133</v>
      </c>
      <c r="G19" s="28" t="s">
        <v>67</v>
      </c>
      <c r="H19" s="38" t="s">
        <v>77</v>
      </c>
      <c r="I19" s="10" t="n">
        <f aca="false">J19*IFERROR(INDEX(P_italia_outubro_2026!$C$27:$C$33,MATCH(B19,P_italia_outubro_2026!$A$27:$A$33,0)),1)</f>
        <v>12</v>
      </c>
      <c r="J19" s="39" t="n">
        <v>12</v>
      </c>
      <c r="K19" s="10" t="n">
        <f aca="false">J19</f>
        <v>12</v>
      </c>
      <c r="L19" s="15" t="n">
        <f aca="false">IF(H19="econômico",I19,IF(H19="upgrade",K19,J19))</f>
        <v>12</v>
      </c>
      <c r="M19" s="6" t="n">
        <f aca="false">E19*IF(OR(F19="pessoa",F19="pessoa-noite"),P_italia_outubro_2026!$B$8,1)</f>
        <v>2</v>
      </c>
      <c r="N19" s="40" t="n">
        <f aca="false">IFERROR(INDEX(P_italia_outubro_2026!$B$22:$B$22,MATCH(G19,P_italia_outubro_2026!$A$22:$A$22,0)),1)*(1+IF(G19=P_italia_outubro_2026!$B$9,0,P_italia_outubro_2026!$B$14))</f>
        <v>1</v>
      </c>
      <c r="O19" s="10" t="n">
        <f aca="false">M19*I19*N19</f>
        <v>24</v>
      </c>
      <c r="P19" s="10" t="n">
        <f aca="false">M19*J19*N19</f>
        <v>24</v>
      </c>
      <c r="Q19" s="10" t="n">
        <f aca="false">M19*K19*N19</f>
        <v>24</v>
      </c>
      <c r="R19" s="15" t="n">
        <f aca="false">M19*L19*N19</f>
        <v>24</v>
      </c>
      <c r="S19" s="21" t="str">
        <f aca="false">IFERROR(INDEX(P_italia_outubro_2026!$D$27:$D$33,MATCH(B19,P_italia_outubro_2026!$A$27:$A$33,0)),"não")</f>
        <v>sim</v>
      </c>
      <c r="T19" s="37" t="n">
        <v>6</v>
      </c>
      <c r="V19" s="20" t="s">
        <v>134</v>
      </c>
      <c r="W19" s="20" t="s">
        <v>135</v>
      </c>
      <c r="X19" s="20"/>
    </row>
    <row r="20" customFormat="false" ht="15" hidden="false" customHeight="false" outlineLevel="0" collapsed="false">
      <c r="A20" s="28" t="s">
        <v>180</v>
      </c>
      <c r="B20" s="28" t="s">
        <v>101</v>
      </c>
      <c r="C20" s="28" t="s">
        <v>181</v>
      </c>
      <c r="D20" s="29" t="n">
        <v>46318</v>
      </c>
      <c r="E20" s="37" t="n">
        <v>1</v>
      </c>
      <c r="F20" s="28" t="s">
        <v>133</v>
      </c>
      <c r="G20" s="28" t="s">
        <v>67</v>
      </c>
      <c r="H20" s="38" t="s">
        <v>77</v>
      </c>
      <c r="I20" s="10" t="n">
        <f aca="false">J20*IFERROR(INDEX(P_italia_outubro_2026!$C$27:$C$33,MATCH(B20,P_italia_outubro_2026!$A$27:$A$33,0)),1)</f>
        <v>12</v>
      </c>
      <c r="J20" s="39" t="n">
        <v>12</v>
      </c>
      <c r="K20" s="10" t="n">
        <f aca="false">J20</f>
        <v>12</v>
      </c>
      <c r="L20" s="15" t="n">
        <f aca="false">IF(H20="econômico",I20,IF(H20="upgrade",K20,J20))</f>
        <v>12</v>
      </c>
      <c r="M20" s="6" t="n">
        <f aca="false">E20*IF(OR(F20="pessoa",F20="pessoa-noite"),P_italia_outubro_2026!$B$8,1)</f>
        <v>2</v>
      </c>
      <c r="N20" s="40" t="n">
        <f aca="false">IFERROR(INDEX(P_italia_outubro_2026!$B$22:$B$22,MATCH(G20,P_italia_outubro_2026!$A$22:$A$22,0)),1)*(1+IF(G20=P_italia_outubro_2026!$B$9,0,P_italia_outubro_2026!$B$14))</f>
        <v>1</v>
      </c>
      <c r="O20" s="10" t="n">
        <f aca="false">M20*I20*N20</f>
        <v>24</v>
      </c>
      <c r="P20" s="10" t="n">
        <f aca="false">M20*J20*N20</f>
        <v>24</v>
      </c>
      <c r="Q20" s="10" t="n">
        <f aca="false">M20*K20*N20</f>
        <v>24</v>
      </c>
      <c r="R20" s="15" t="n">
        <f aca="false">M20*L20*N20</f>
        <v>24</v>
      </c>
      <c r="S20" s="21" t="str">
        <f aca="false">IFERROR(INDEX(P_italia_outubro_2026!$D$27:$D$33,MATCH(B20,P_italia_outubro_2026!$A$27:$A$33,0)),"não")</f>
        <v>sim</v>
      </c>
      <c r="T20" s="37" t="n">
        <v>7</v>
      </c>
      <c r="V20" s="20" t="s">
        <v>134</v>
      </c>
      <c r="W20" s="20" t="s">
        <v>135</v>
      </c>
      <c r="X20" s="20" t="s">
        <v>182</v>
      </c>
    </row>
    <row r="21" customFormat="false" ht="15" hidden="false" customHeight="false" outlineLevel="0" collapsed="false">
      <c r="A21" s="28" t="s">
        <v>183</v>
      </c>
      <c r="B21" s="28" t="s">
        <v>101</v>
      </c>
      <c r="C21" s="28" t="s">
        <v>184</v>
      </c>
      <c r="D21" s="29" t="n">
        <v>46318</v>
      </c>
      <c r="E21" s="37" t="n">
        <v>1</v>
      </c>
      <c r="F21" s="28" t="s">
        <v>133</v>
      </c>
      <c r="G21" s="28" t="s">
        <v>67</v>
      </c>
      <c r="H21" s="38" t="s">
        <v>77</v>
      </c>
      <c r="I21" s="10" t="n">
        <f aca="false">J21*IFERROR(INDEX(P_italia_outubro_2026!$C$27:$C$33,MATCH(B21,P_italia_outubro_2026!$A$27:$A$33,0)),1)</f>
        <v>40</v>
      </c>
      <c r="J21" s="39" t="n">
        <v>40</v>
      </c>
      <c r="K21" s="10" t="n">
        <f aca="false">J21</f>
        <v>40</v>
      </c>
      <c r="L21" s="15" t="n">
        <f aca="false">IF(H21="econômico",I21,IF(H21="upgrade",K21,J21))</f>
        <v>40</v>
      </c>
      <c r="M21" s="6" t="n">
        <f aca="false">E21*IF(OR(F21="pessoa",F21="pessoa-noite"),P_italia_outubro_2026!$B$8,1)</f>
        <v>2</v>
      </c>
      <c r="N21" s="40" t="n">
        <f aca="false">IFERROR(INDEX(P_italia_outubro_2026!$B$22:$B$22,MATCH(G21,P_italia_outubro_2026!$A$22:$A$22,0)),1)*(1+IF(G21=P_italia_outubro_2026!$B$9,0,P_italia_outubro_2026!$B$14))</f>
        <v>1</v>
      </c>
      <c r="O21" s="10" t="n">
        <f aca="false">M21*I21*N21</f>
        <v>80</v>
      </c>
      <c r="P21" s="10" t="n">
        <f aca="false">M21*J21*N21</f>
        <v>80</v>
      </c>
      <c r="Q21" s="10" t="n">
        <f aca="false">M21*K21*N21</f>
        <v>80</v>
      </c>
      <c r="R21" s="15" t="n">
        <f aca="false">M21*L21*N21</f>
        <v>80</v>
      </c>
      <c r="S21" s="21" t="str">
        <f aca="false">IFERROR(INDEX(P_italia_outubro_2026!$D$27:$D$33,MATCH(B21,P_italia_outubro_2026!$A$27:$A$33,0)),"não")</f>
        <v>sim</v>
      </c>
      <c r="T21" s="37" t="n">
        <v>7</v>
      </c>
      <c r="V21" s="20" t="s">
        <v>134</v>
      </c>
      <c r="W21" s="20" t="s">
        <v>135</v>
      </c>
      <c r="X21" s="20" t="s">
        <v>185</v>
      </c>
    </row>
    <row r="22" customFormat="false" ht="15" hidden="false" customHeight="false" outlineLevel="0" collapsed="false">
      <c r="A22" s="28" t="s">
        <v>186</v>
      </c>
      <c r="B22" s="28" t="s">
        <v>101</v>
      </c>
      <c r="C22" s="28" t="s">
        <v>187</v>
      </c>
      <c r="D22" s="29" t="n">
        <v>46319</v>
      </c>
      <c r="E22" s="37" t="n">
        <v>1</v>
      </c>
      <c r="F22" s="28" t="s">
        <v>133</v>
      </c>
      <c r="G22" s="28" t="s">
        <v>67</v>
      </c>
      <c r="H22" s="38" t="s">
        <v>77</v>
      </c>
      <c r="I22" s="10" t="n">
        <f aca="false">J22*IFERROR(INDEX(P_italia_outubro_2026!$C$27:$C$33,MATCH(B22,P_italia_outubro_2026!$A$27:$A$33,0)),1)</f>
        <v>6</v>
      </c>
      <c r="J22" s="39" t="n">
        <v>6</v>
      </c>
      <c r="K22" s="10" t="n">
        <f aca="false">J22</f>
        <v>6</v>
      </c>
      <c r="L22" s="15" t="n">
        <f aca="false">IF(H22="econômico",I22,IF(H22="upgrade",K22,J22))</f>
        <v>6</v>
      </c>
      <c r="M22" s="6" t="n">
        <f aca="false">E22*IF(OR(F22="pessoa",F22="pessoa-noite"),P_italia_outubro_2026!$B$8,1)</f>
        <v>2</v>
      </c>
      <c r="N22" s="40" t="n">
        <f aca="false">IFERROR(INDEX(P_italia_outubro_2026!$B$22:$B$22,MATCH(G22,P_italia_outubro_2026!$A$22:$A$22,0)),1)*(1+IF(G22=P_italia_outubro_2026!$B$9,0,P_italia_outubro_2026!$B$14))</f>
        <v>1</v>
      </c>
      <c r="O22" s="10" t="n">
        <f aca="false">M22*I22*N22</f>
        <v>12</v>
      </c>
      <c r="P22" s="10" t="n">
        <f aca="false">M22*J22*N22</f>
        <v>12</v>
      </c>
      <c r="Q22" s="10" t="n">
        <f aca="false">M22*K22*N22</f>
        <v>12</v>
      </c>
      <c r="R22" s="15" t="n">
        <f aca="false">M22*L22*N22</f>
        <v>12</v>
      </c>
      <c r="S22" s="21" t="str">
        <f aca="false">IFERROR(INDEX(P_italia_outubro_2026!$D$27:$D$33,MATCH(B22,P_italia_outubro_2026!$A$27:$A$33,0)),"não")</f>
        <v>sim</v>
      </c>
      <c r="T22" s="37" t="n">
        <v>8</v>
      </c>
      <c r="V22" s="20" t="s">
        <v>134</v>
      </c>
      <c r="W22" s="20" t="s">
        <v>135</v>
      </c>
      <c r="X22" s="20"/>
    </row>
    <row r="23" customFormat="false" ht="15" hidden="false" customHeight="false" outlineLevel="0" collapsed="false">
      <c r="A23" s="41" t="s">
        <v>188</v>
      </c>
      <c r="B23" s="41" t="s">
        <v>101</v>
      </c>
      <c r="C23" s="41" t="s">
        <v>189</v>
      </c>
      <c r="D23" s="42"/>
      <c r="E23" s="43" t="n">
        <v>1</v>
      </c>
      <c r="F23" s="41" t="s">
        <v>70</v>
      </c>
      <c r="G23" s="41" t="s">
        <v>67</v>
      </c>
      <c r="H23" s="44" t="s">
        <v>77</v>
      </c>
      <c r="I23" s="45" t="n">
        <f aca="false">J23*IFERROR(INDEX(P_italia_outubro_2026!$C$27:$C$33,MATCH(B23,P_italia_outubro_2026!$A$27:$A$33,0)),1)</f>
        <v>-64</v>
      </c>
      <c r="J23" s="46" t="n">
        <v>-64</v>
      </c>
      <c r="K23" s="45" t="n">
        <f aca="false">J23</f>
        <v>-64</v>
      </c>
      <c r="L23" s="15" t="n">
        <f aca="false">IF(H23="econômico",I23,IF(H23="upgrade",K23,J23))</f>
        <v>-64</v>
      </c>
      <c r="M23" s="6" t="n">
        <f aca="false">E23*IF(OR(F23="pessoa",F23="pessoa-noite"),P_italia_outubro_2026!$B$8,1)</f>
        <v>1</v>
      </c>
      <c r="N23" s="40" t="n">
        <f aca="false">IFERROR(INDEX(P_italia_outubro_2026!$B$22:$B$22,MATCH(G23,P_italia_outubro_2026!$A$22:$A$22,0)),1)*(1+IF(G23=P_italia_outubro_2026!$B$9,0,P_italia_outubro_2026!$B$14))</f>
        <v>1</v>
      </c>
      <c r="O23" s="10" t="n">
        <f aca="false">M23*I23*N23</f>
        <v>-64</v>
      </c>
      <c r="P23" s="10" t="n">
        <f aca="false">M23*J23*N23</f>
        <v>-64</v>
      </c>
      <c r="Q23" s="10" t="n">
        <f aca="false">M23*K23*N23</f>
        <v>-64</v>
      </c>
      <c r="R23" s="15" t="n">
        <f aca="false">M23*L23*N23</f>
        <v>-64</v>
      </c>
      <c r="S23" s="21" t="str">
        <f aca="false">IFERROR(INDEX(P_italia_outubro_2026!$D$27:$D$33,MATCH(B23,P_italia_outubro_2026!$A$27:$A$33,0)),"não")</f>
        <v>sim</v>
      </c>
      <c r="T23" s="37"/>
      <c r="V23" s="20"/>
      <c r="W23" s="20"/>
      <c r="X23" s="20" t="s">
        <v>103</v>
      </c>
    </row>
    <row r="24" customFormat="false" ht="15" hidden="false" customHeight="false" outlineLevel="0" collapsed="false">
      <c r="A24" s="41" t="s">
        <v>190</v>
      </c>
      <c r="B24" s="41" t="s">
        <v>104</v>
      </c>
      <c r="C24" s="41" t="s">
        <v>191</v>
      </c>
      <c r="D24" s="42"/>
      <c r="E24" s="43" t="n">
        <v>1</v>
      </c>
      <c r="F24" s="41" t="s">
        <v>70</v>
      </c>
      <c r="G24" s="41" t="s">
        <v>67</v>
      </c>
      <c r="H24" s="44" t="s">
        <v>77</v>
      </c>
      <c r="I24" s="45" t="n">
        <f aca="false">J24*IFERROR(INDEX(P_italia_outubro_2026!$C$27:$C$33,MATCH(B24,P_italia_outubro_2026!$A$27:$A$33,0)),1)</f>
        <v>4.7622</v>
      </c>
      <c r="J24" s="46" t="n">
        <v>6</v>
      </c>
      <c r="K24" s="45" t="n">
        <f aca="false">J24</f>
        <v>6</v>
      </c>
      <c r="L24" s="15" t="n">
        <f aca="false">IF(H24="econômico",I24,IF(H24="upgrade",K24,J24))</f>
        <v>6</v>
      </c>
      <c r="M24" s="6" t="n">
        <f aca="false">E24*IF(OR(F24="pessoa",F24="pessoa-noite"),P_italia_outubro_2026!$B$8,1)</f>
        <v>1</v>
      </c>
      <c r="N24" s="40" t="n">
        <f aca="false">IFERROR(INDEX(P_italia_outubro_2026!$B$22:$B$22,MATCH(G24,P_italia_outubro_2026!$A$22:$A$22,0)),1)*(1+IF(G24=P_italia_outubro_2026!$B$9,0,P_italia_outubro_2026!$B$14))</f>
        <v>1</v>
      </c>
      <c r="O24" s="10" t="n">
        <f aca="false">M24*I24*N24</f>
        <v>4.7622</v>
      </c>
      <c r="P24" s="10" t="n">
        <f aca="false">M24*J24*N24</f>
        <v>6</v>
      </c>
      <c r="Q24" s="10" t="n">
        <f aca="false">M24*K24*N24</f>
        <v>6</v>
      </c>
      <c r="R24" s="15" t="n">
        <f aca="false">M24*L24*N24</f>
        <v>6</v>
      </c>
      <c r="S24" s="21" t="str">
        <f aca="false">IFERROR(INDEX(P_italia_outubro_2026!$D$27:$D$33,MATCH(B24,P_italia_outubro_2026!$A$27:$A$33,0)),"não")</f>
        <v>não</v>
      </c>
      <c r="T24" s="37"/>
      <c r="V24" s="20"/>
      <c r="W24" s="20"/>
      <c r="X24" s="20" t="s">
        <v>105</v>
      </c>
    </row>
    <row r="25" customFormat="false" ht="15" hidden="false" customHeight="false" outlineLevel="0" collapsed="false">
      <c r="A25" s="28" t="s">
        <v>192</v>
      </c>
      <c r="B25" s="28" t="s">
        <v>104</v>
      </c>
      <c r="C25" s="28" t="s">
        <v>193</v>
      </c>
      <c r="D25" s="29"/>
      <c r="E25" s="37" t="n">
        <v>1</v>
      </c>
      <c r="F25" s="28" t="s">
        <v>133</v>
      </c>
      <c r="G25" s="28" t="s">
        <v>67</v>
      </c>
      <c r="H25" s="38" t="s">
        <v>77</v>
      </c>
      <c r="I25" s="10" t="n">
        <f aca="false">J25*IFERROR(INDEX(P_italia_outubro_2026!$C$27:$C$33,MATCH(B25,P_italia_outubro_2026!$A$27:$A$33,0)),1)</f>
        <v>11.9055</v>
      </c>
      <c r="J25" s="39" t="n">
        <v>15</v>
      </c>
      <c r="K25" s="10" t="n">
        <f aca="false">J25</f>
        <v>15</v>
      </c>
      <c r="L25" s="15" t="n">
        <f aca="false">IF(H25="econômico",I25,IF(H25="upgrade",K25,J25))</f>
        <v>15</v>
      </c>
      <c r="M25" s="6" t="n">
        <f aca="false">E25*IF(OR(F25="pessoa",F25="pessoa-noite"),P_italia_outubro_2026!$B$8,1)</f>
        <v>2</v>
      </c>
      <c r="N25" s="40" t="n">
        <f aca="false">IFERROR(INDEX(P_italia_outubro_2026!$B$22:$B$22,MATCH(G25,P_italia_outubro_2026!$A$22:$A$22,0)),1)*(1+IF(G25=P_italia_outubro_2026!$B$9,0,P_italia_outubro_2026!$B$14))</f>
        <v>1</v>
      </c>
      <c r="O25" s="10" t="n">
        <f aca="false">M25*I25*N25</f>
        <v>23.811</v>
      </c>
      <c r="P25" s="10" t="n">
        <f aca="false">M25*J25*N25</f>
        <v>30</v>
      </c>
      <c r="Q25" s="10" t="n">
        <f aca="false">M25*K25*N25</f>
        <v>30</v>
      </c>
      <c r="R25" s="15" t="n">
        <f aca="false">M25*L25*N25</f>
        <v>30</v>
      </c>
      <c r="S25" s="21" t="str">
        <f aca="false">IFERROR(INDEX(P_italia_outubro_2026!$D$27:$D$33,MATCH(B25,P_italia_outubro_2026!$A$27:$A$33,0)),"não")</f>
        <v>não</v>
      </c>
      <c r="T25" s="37"/>
      <c r="V25" s="20" t="s">
        <v>134</v>
      </c>
      <c r="W25" s="20" t="s">
        <v>135</v>
      </c>
      <c r="X25" s="20" t="s">
        <v>194</v>
      </c>
    </row>
    <row r="26" customFormat="false" ht="15" hidden="false" customHeight="false" outlineLevel="0" collapsed="false">
      <c r="A26" s="28" t="s">
        <v>195</v>
      </c>
      <c r="B26" s="28" t="s">
        <v>104</v>
      </c>
      <c r="C26" s="28" t="s">
        <v>196</v>
      </c>
      <c r="D26" s="29"/>
      <c r="E26" s="37" t="n">
        <v>1</v>
      </c>
      <c r="F26" s="28" t="s">
        <v>133</v>
      </c>
      <c r="G26" s="28" t="s">
        <v>67</v>
      </c>
      <c r="H26" s="38" t="s">
        <v>77</v>
      </c>
      <c r="I26" s="10" t="n">
        <f aca="false">J26*IFERROR(INDEX(P_italia_outubro_2026!$C$27:$C$33,MATCH(B26,P_italia_outubro_2026!$A$27:$A$33,0)),1)</f>
        <v>6.3496</v>
      </c>
      <c r="J26" s="39" t="n">
        <v>8</v>
      </c>
      <c r="K26" s="10" t="n">
        <f aca="false">J26</f>
        <v>8</v>
      </c>
      <c r="L26" s="15" t="n">
        <f aca="false">IF(H26="econômico",I26,IF(H26="upgrade",K26,J26))</f>
        <v>8</v>
      </c>
      <c r="M26" s="6" t="n">
        <f aca="false">E26*IF(OR(F26="pessoa",F26="pessoa-noite"),P_italia_outubro_2026!$B$8,1)</f>
        <v>2</v>
      </c>
      <c r="N26" s="40" t="n">
        <f aca="false">IFERROR(INDEX(P_italia_outubro_2026!$B$22:$B$22,MATCH(G26,P_italia_outubro_2026!$A$22:$A$22,0)),1)*(1+IF(G26=P_italia_outubro_2026!$B$9,0,P_italia_outubro_2026!$B$14))</f>
        <v>1</v>
      </c>
      <c r="O26" s="10" t="n">
        <f aca="false">M26*I26*N26</f>
        <v>12.6992</v>
      </c>
      <c r="P26" s="10" t="n">
        <f aca="false">M26*J26*N26</f>
        <v>16</v>
      </c>
      <c r="Q26" s="10" t="n">
        <f aca="false">M26*K26*N26</f>
        <v>16</v>
      </c>
      <c r="R26" s="15" t="n">
        <f aca="false">M26*L26*N26</f>
        <v>16</v>
      </c>
      <c r="S26" s="21" t="str">
        <f aca="false">IFERROR(INDEX(P_italia_outubro_2026!$D$27:$D$33,MATCH(B26,P_italia_outubro_2026!$A$27:$A$33,0)),"não")</f>
        <v>não</v>
      </c>
      <c r="T26" s="37"/>
      <c r="V26" s="20" t="s">
        <v>134</v>
      </c>
      <c r="W26" s="20" t="s">
        <v>135</v>
      </c>
      <c r="X26" s="20" t="s">
        <v>197</v>
      </c>
    </row>
    <row r="27" customFormat="false" ht="15" hidden="false" customHeight="false" outlineLevel="0" collapsed="false">
      <c r="A27" s="28" t="s">
        <v>198</v>
      </c>
      <c r="B27" s="28" t="s">
        <v>104</v>
      </c>
      <c r="C27" s="28" t="s">
        <v>199</v>
      </c>
      <c r="D27" s="29"/>
      <c r="E27" s="37" t="n">
        <v>1</v>
      </c>
      <c r="F27" s="28" t="s">
        <v>133</v>
      </c>
      <c r="G27" s="28" t="s">
        <v>67</v>
      </c>
      <c r="H27" s="38" t="s">
        <v>77</v>
      </c>
      <c r="I27" s="10" t="n">
        <f aca="false">J27*IFERROR(INDEX(P_italia_outubro_2026!$C$27:$C$33,MATCH(B27,P_italia_outubro_2026!$A$27:$A$33,0)),1)</f>
        <v>19.8425</v>
      </c>
      <c r="J27" s="39" t="n">
        <v>25</v>
      </c>
      <c r="K27" s="10" t="n">
        <f aca="false">J27</f>
        <v>25</v>
      </c>
      <c r="L27" s="15" t="n">
        <f aca="false">IF(H27="econômico",I27,IF(H27="upgrade",K27,J27))</f>
        <v>25</v>
      </c>
      <c r="M27" s="6" t="n">
        <f aca="false">E27*IF(OR(F27="pessoa",F27="pessoa-noite"),P_italia_outubro_2026!$B$8,1)</f>
        <v>2</v>
      </c>
      <c r="N27" s="40" t="n">
        <f aca="false">IFERROR(INDEX(P_italia_outubro_2026!$B$22:$B$22,MATCH(G27,P_italia_outubro_2026!$A$22:$A$22,0)),1)*(1+IF(G27=P_italia_outubro_2026!$B$9,0,P_italia_outubro_2026!$B$14))</f>
        <v>1</v>
      </c>
      <c r="O27" s="10" t="n">
        <f aca="false">M27*I27*N27</f>
        <v>39.685</v>
      </c>
      <c r="P27" s="10" t="n">
        <f aca="false">M27*J27*N27</f>
        <v>50</v>
      </c>
      <c r="Q27" s="10" t="n">
        <f aca="false">M27*K27*N27</f>
        <v>50</v>
      </c>
      <c r="R27" s="15" t="n">
        <f aca="false">M27*L27*N27</f>
        <v>50</v>
      </c>
      <c r="S27" s="21" t="str">
        <f aca="false">IFERROR(INDEX(P_italia_outubro_2026!$D$27:$D$33,MATCH(B27,P_italia_outubro_2026!$A$27:$A$33,0)),"não")</f>
        <v>não</v>
      </c>
      <c r="T27" s="37"/>
      <c r="V27" s="20" t="s">
        <v>134</v>
      </c>
      <c r="W27" s="20" t="s">
        <v>135</v>
      </c>
      <c r="X27" s="20" t="s">
        <v>200</v>
      </c>
    </row>
    <row r="28" customFormat="false" ht="15" hidden="false" customHeight="false" outlineLevel="0" collapsed="false">
      <c r="A28" s="28" t="s">
        <v>201</v>
      </c>
      <c r="B28" s="28" t="s">
        <v>104</v>
      </c>
      <c r="C28" s="28" t="s">
        <v>202</v>
      </c>
      <c r="D28" s="29"/>
      <c r="E28" s="37" t="n">
        <v>1</v>
      </c>
      <c r="F28" s="28" t="s">
        <v>133</v>
      </c>
      <c r="G28" s="28" t="s">
        <v>67</v>
      </c>
      <c r="H28" s="38" t="s">
        <v>77</v>
      </c>
      <c r="I28" s="10" t="n">
        <f aca="false">J28*IFERROR(INDEX(P_italia_outubro_2026!$C$27:$C$33,MATCH(B28,P_italia_outubro_2026!$A$27:$A$33,0)),1)</f>
        <v>9.5244</v>
      </c>
      <c r="J28" s="39" t="n">
        <v>12</v>
      </c>
      <c r="K28" s="10" t="n">
        <f aca="false">J28</f>
        <v>12</v>
      </c>
      <c r="L28" s="15" t="n">
        <f aca="false">IF(H28="econômico",I28,IF(H28="upgrade",K28,J28))</f>
        <v>12</v>
      </c>
      <c r="M28" s="6" t="n">
        <f aca="false">E28*IF(OR(F28="pessoa",F28="pessoa-noite"),P_italia_outubro_2026!$B$8,1)</f>
        <v>2</v>
      </c>
      <c r="N28" s="40" t="n">
        <f aca="false">IFERROR(INDEX(P_italia_outubro_2026!$B$22:$B$22,MATCH(G28,P_italia_outubro_2026!$A$22:$A$22,0)),1)*(1+IF(G28=P_italia_outubro_2026!$B$9,0,P_italia_outubro_2026!$B$14))</f>
        <v>1</v>
      </c>
      <c r="O28" s="10" t="n">
        <f aca="false">M28*I28*N28</f>
        <v>19.0488</v>
      </c>
      <c r="P28" s="10" t="n">
        <f aca="false">M28*J28*N28</f>
        <v>24</v>
      </c>
      <c r="Q28" s="10" t="n">
        <f aca="false">M28*K28*N28</f>
        <v>24</v>
      </c>
      <c r="R28" s="15" t="n">
        <f aca="false">M28*L28*N28</f>
        <v>24</v>
      </c>
      <c r="S28" s="21" t="str">
        <f aca="false">IFERROR(INDEX(P_italia_outubro_2026!$D$27:$D$33,MATCH(B28,P_italia_outubro_2026!$A$27:$A$33,0)),"não")</f>
        <v>não</v>
      </c>
      <c r="T28" s="37"/>
      <c r="V28" s="20" t="s">
        <v>134</v>
      </c>
      <c r="W28" s="20" t="s">
        <v>135</v>
      </c>
      <c r="X28" s="20" t="s">
        <v>203</v>
      </c>
    </row>
    <row r="29" customFormat="false" ht="15" hidden="false" customHeight="false" outlineLevel="0" collapsed="false">
      <c r="A29" s="28" t="s">
        <v>204</v>
      </c>
      <c r="B29" s="28" t="s">
        <v>106</v>
      </c>
      <c r="C29" s="28" t="s">
        <v>205</v>
      </c>
      <c r="D29" s="29" t="n">
        <v>46312</v>
      </c>
      <c r="E29" s="37" t="n">
        <v>1</v>
      </c>
      <c r="F29" s="28" t="s">
        <v>133</v>
      </c>
      <c r="G29" s="28" t="s">
        <v>67</v>
      </c>
      <c r="H29" s="38" t="s">
        <v>77</v>
      </c>
      <c r="I29" s="10" t="n">
        <f aca="false">J29*IFERROR(INDEX(P_italia_outubro_2026!$C$27:$C$33,MATCH(B29,P_italia_outubro_2026!$A$27:$A$33,0)),1)</f>
        <v>5</v>
      </c>
      <c r="J29" s="39" t="n">
        <v>5</v>
      </c>
      <c r="K29" s="10" t="n">
        <f aca="false">J29</f>
        <v>5</v>
      </c>
      <c r="L29" s="15" t="n">
        <f aca="false">IF(H29="econômico",I29,IF(H29="upgrade",K29,J29))</f>
        <v>5</v>
      </c>
      <c r="M29" s="6" t="n">
        <f aca="false">E29*IF(OR(F29="pessoa",F29="pessoa-noite"),P_italia_outubro_2026!$B$8,1)</f>
        <v>2</v>
      </c>
      <c r="N29" s="40" t="n">
        <f aca="false">IFERROR(INDEX(P_italia_outubro_2026!$B$22:$B$22,MATCH(G29,P_italia_outubro_2026!$A$22:$A$22,0)),1)*(1+IF(G29=P_italia_outubro_2026!$B$9,0,P_italia_outubro_2026!$B$14))</f>
        <v>1</v>
      </c>
      <c r="O29" s="10" t="n">
        <f aca="false">M29*I29*N29</f>
        <v>10</v>
      </c>
      <c r="P29" s="10" t="n">
        <f aca="false">M29*J29*N29</f>
        <v>10</v>
      </c>
      <c r="Q29" s="10" t="n">
        <f aca="false">M29*K29*N29</f>
        <v>10</v>
      </c>
      <c r="R29" s="15" t="n">
        <f aca="false">M29*L29*N29</f>
        <v>10</v>
      </c>
      <c r="S29" s="21" t="str">
        <f aca="false">IFERROR(INDEX(P_italia_outubro_2026!$D$27:$D$33,MATCH(B29,P_italia_outubro_2026!$A$27:$A$33,0)),"não")</f>
        <v>sim</v>
      </c>
      <c r="T29" s="37" t="n">
        <v>1</v>
      </c>
      <c r="V29" s="20" t="s">
        <v>134</v>
      </c>
      <c r="W29" s="20" t="s">
        <v>135</v>
      </c>
      <c r="X29" s="20" t="s">
        <v>206</v>
      </c>
    </row>
    <row r="30" customFormat="false" ht="15" hidden="false" customHeight="false" outlineLevel="0" collapsed="false">
      <c r="A30" s="28" t="s">
        <v>207</v>
      </c>
      <c r="B30" s="28" t="s">
        <v>106</v>
      </c>
      <c r="C30" s="28" t="s">
        <v>208</v>
      </c>
      <c r="D30" s="29" t="n">
        <v>46313</v>
      </c>
      <c r="E30" s="37" t="n">
        <v>1</v>
      </c>
      <c r="F30" s="28" t="s">
        <v>133</v>
      </c>
      <c r="G30" s="28" t="s">
        <v>67</v>
      </c>
      <c r="H30" s="38" t="s">
        <v>77</v>
      </c>
      <c r="I30" s="10" t="n">
        <f aca="false">J30*IFERROR(INDEX(P_italia_outubro_2026!$C$27:$C$33,MATCH(B30,P_italia_outubro_2026!$A$27:$A$33,0)),1)</f>
        <v>18</v>
      </c>
      <c r="J30" s="39" t="n">
        <v>18</v>
      </c>
      <c r="K30" s="10" t="n">
        <f aca="false">J30</f>
        <v>18</v>
      </c>
      <c r="L30" s="15" t="n">
        <f aca="false">IF(H30="econômico",I30,IF(H30="upgrade",K30,J30))</f>
        <v>18</v>
      </c>
      <c r="M30" s="6" t="n">
        <f aca="false">E30*IF(OR(F30="pessoa",F30="pessoa-noite"),P_italia_outubro_2026!$B$8,1)</f>
        <v>2</v>
      </c>
      <c r="N30" s="40" t="n">
        <f aca="false">IFERROR(INDEX(P_italia_outubro_2026!$B$22:$B$22,MATCH(G30,P_italia_outubro_2026!$A$22:$A$22,0)),1)*(1+IF(G30=P_italia_outubro_2026!$B$9,0,P_italia_outubro_2026!$B$14))</f>
        <v>1</v>
      </c>
      <c r="O30" s="10" t="n">
        <f aca="false">M30*I30*N30</f>
        <v>36</v>
      </c>
      <c r="P30" s="10" t="n">
        <f aca="false">M30*J30*N30</f>
        <v>36</v>
      </c>
      <c r="Q30" s="10" t="n">
        <f aca="false">M30*K30*N30</f>
        <v>36</v>
      </c>
      <c r="R30" s="15" t="n">
        <f aca="false">M30*L30*N30</f>
        <v>36</v>
      </c>
      <c r="S30" s="21" t="str">
        <f aca="false">IFERROR(INDEX(P_italia_outubro_2026!$D$27:$D$33,MATCH(B30,P_italia_outubro_2026!$A$27:$A$33,0)),"não")</f>
        <v>sim</v>
      </c>
      <c r="T30" s="37" t="n">
        <v>2</v>
      </c>
      <c r="U30" s="47" t="s">
        <v>209</v>
      </c>
      <c r="V30" s="20" t="s">
        <v>134</v>
      </c>
      <c r="W30" s="20" t="s">
        <v>135</v>
      </c>
      <c r="X30" s="20" t="s">
        <v>210</v>
      </c>
    </row>
    <row r="31" customFormat="false" ht="15" hidden="false" customHeight="false" outlineLevel="0" collapsed="false">
      <c r="A31" s="28" t="s">
        <v>211</v>
      </c>
      <c r="B31" s="28" t="s">
        <v>106</v>
      </c>
      <c r="C31" s="28" t="s">
        <v>212</v>
      </c>
      <c r="D31" s="29" t="n">
        <v>46314</v>
      </c>
      <c r="E31" s="37" t="n">
        <v>1</v>
      </c>
      <c r="F31" s="28" t="s">
        <v>133</v>
      </c>
      <c r="G31" s="28" t="s">
        <v>67</v>
      </c>
      <c r="H31" s="38" t="s">
        <v>77</v>
      </c>
      <c r="I31" s="10" t="n">
        <f aca="false">J31*IFERROR(INDEX(P_italia_outubro_2026!$C$27:$C$33,MATCH(B31,P_italia_outubro_2026!$A$27:$A$33,0)),1)</f>
        <v>25</v>
      </c>
      <c r="J31" s="39" t="n">
        <v>25</v>
      </c>
      <c r="K31" s="10" t="n">
        <f aca="false">J31</f>
        <v>25</v>
      </c>
      <c r="L31" s="15" t="n">
        <f aca="false">IF(H31="econômico",I31,IF(H31="upgrade",K31,J31))</f>
        <v>25</v>
      </c>
      <c r="M31" s="6" t="n">
        <f aca="false">E31*IF(OR(F31="pessoa",F31="pessoa-noite"),P_italia_outubro_2026!$B$8,1)</f>
        <v>2</v>
      </c>
      <c r="N31" s="40" t="n">
        <f aca="false">IFERROR(INDEX(P_italia_outubro_2026!$B$22:$B$22,MATCH(G31,P_italia_outubro_2026!$A$22:$A$22,0)),1)*(1+IF(G31=P_italia_outubro_2026!$B$9,0,P_italia_outubro_2026!$B$14))</f>
        <v>1</v>
      </c>
      <c r="O31" s="10" t="n">
        <f aca="false">M31*I31*N31</f>
        <v>50</v>
      </c>
      <c r="P31" s="10" t="n">
        <f aca="false">M31*J31*N31</f>
        <v>50</v>
      </c>
      <c r="Q31" s="10" t="n">
        <f aca="false">M31*K31*N31</f>
        <v>50</v>
      </c>
      <c r="R31" s="15" t="n">
        <f aca="false">M31*L31*N31</f>
        <v>50</v>
      </c>
      <c r="S31" s="21" t="str">
        <f aca="false">IFERROR(INDEX(P_italia_outubro_2026!$D$27:$D$33,MATCH(B31,P_italia_outubro_2026!$A$27:$A$33,0)),"não")</f>
        <v>sim</v>
      </c>
      <c r="T31" s="37" t="n">
        <v>3</v>
      </c>
      <c r="U31" s="47" t="s">
        <v>213</v>
      </c>
      <c r="V31" s="20" t="s">
        <v>134</v>
      </c>
      <c r="W31" s="20" t="s">
        <v>135</v>
      </c>
      <c r="X31" s="20" t="s">
        <v>214</v>
      </c>
    </row>
    <row r="32" customFormat="false" ht="15" hidden="false" customHeight="false" outlineLevel="0" collapsed="false">
      <c r="A32" s="28" t="s">
        <v>215</v>
      </c>
      <c r="B32" s="28" t="s">
        <v>106</v>
      </c>
      <c r="C32" s="28" t="s">
        <v>216</v>
      </c>
      <c r="D32" s="29" t="n">
        <v>46317</v>
      </c>
      <c r="E32" s="37" t="n">
        <v>1</v>
      </c>
      <c r="F32" s="28" t="s">
        <v>133</v>
      </c>
      <c r="G32" s="28" t="s">
        <v>67</v>
      </c>
      <c r="H32" s="38" t="s">
        <v>77</v>
      </c>
      <c r="I32" s="10" t="n">
        <f aca="false">J32*IFERROR(INDEX(P_italia_outubro_2026!$C$27:$C$33,MATCH(B32,P_italia_outubro_2026!$A$27:$A$33,0)),1)</f>
        <v>29</v>
      </c>
      <c r="J32" s="39" t="n">
        <v>29</v>
      </c>
      <c r="K32" s="10" t="n">
        <f aca="false">J32</f>
        <v>29</v>
      </c>
      <c r="L32" s="15" t="n">
        <f aca="false">IF(H32="econômico",I32,IF(H32="upgrade",K32,J32))</f>
        <v>29</v>
      </c>
      <c r="M32" s="6" t="n">
        <f aca="false">E32*IF(OR(F32="pessoa",F32="pessoa-noite"),P_italia_outubro_2026!$B$8,1)</f>
        <v>2</v>
      </c>
      <c r="N32" s="40" t="n">
        <f aca="false">IFERROR(INDEX(P_italia_outubro_2026!$B$22:$B$22,MATCH(G32,P_italia_outubro_2026!$A$22:$A$22,0)),1)*(1+IF(G32=P_italia_outubro_2026!$B$9,0,P_italia_outubro_2026!$B$14))</f>
        <v>1</v>
      </c>
      <c r="O32" s="10" t="n">
        <f aca="false">M32*I32*N32</f>
        <v>58</v>
      </c>
      <c r="P32" s="10" t="n">
        <f aca="false">M32*J32*N32</f>
        <v>58</v>
      </c>
      <c r="Q32" s="10" t="n">
        <f aca="false">M32*K32*N32</f>
        <v>58</v>
      </c>
      <c r="R32" s="15" t="n">
        <f aca="false">M32*L32*N32</f>
        <v>58</v>
      </c>
      <c r="S32" s="21" t="str">
        <f aca="false">IFERROR(INDEX(P_italia_outubro_2026!$D$27:$D$33,MATCH(B32,P_italia_outubro_2026!$A$27:$A$33,0)),"não")</f>
        <v>sim</v>
      </c>
      <c r="T32" s="37" t="n">
        <v>6</v>
      </c>
      <c r="U32" s="47" t="s">
        <v>217</v>
      </c>
      <c r="V32" s="20" t="s">
        <v>134</v>
      </c>
      <c r="W32" s="20" t="s">
        <v>135</v>
      </c>
      <c r="X32" s="20" t="s">
        <v>218</v>
      </c>
    </row>
    <row r="33" customFormat="false" ht="15" hidden="false" customHeight="false" outlineLevel="0" collapsed="false">
      <c r="A33" s="28" t="s">
        <v>219</v>
      </c>
      <c r="B33" s="28" t="s">
        <v>106</v>
      </c>
      <c r="C33" s="28" t="s">
        <v>220</v>
      </c>
      <c r="D33" s="29" t="n">
        <v>46318</v>
      </c>
      <c r="E33" s="37" t="n">
        <v>1</v>
      </c>
      <c r="F33" s="28" t="s">
        <v>133</v>
      </c>
      <c r="G33" s="28" t="s">
        <v>67</v>
      </c>
      <c r="H33" s="38" t="s">
        <v>77</v>
      </c>
      <c r="I33" s="10" t="n">
        <f aca="false">J33*IFERROR(INDEX(P_italia_outubro_2026!$C$27:$C$33,MATCH(B33,P_italia_outubro_2026!$A$27:$A$33,0)),1)</f>
        <v>20</v>
      </c>
      <c r="J33" s="39" t="n">
        <v>20</v>
      </c>
      <c r="K33" s="10" t="n">
        <f aca="false">J33</f>
        <v>20</v>
      </c>
      <c r="L33" s="15" t="n">
        <f aca="false">IF(H33="econômico",I33,IF(H33="upgrade",K33,J33))</f>
        <v>20</v>
      </c>
      <c r="M33" s="6" t="n">
        <f aca="false">E33*IF(OR(F33="pessoa",F33="pessoa-noite"),P_italia_outubro_2026!$B$8,1)</f>
        <v>2</v>
      </c>
      <c r="N33" s="40" t="n">
        <f aca="false">IFERROR(INDEX(P_italia_outubro_2026!$B$22:$B$22,MATCH(G33,P_italia_outubro_2026!$A$22:$A$22,0)),1)*(1+IF(G33=P_italia_outubro_2026!$B$9,0,P_italia_outubro_2026!$B$14))</f>
        <v>1</v>
      </c>
      <c r="O33" s="10" t="n">
        <f aca="false">M33*I33*N33</f>
        <v>40</v>
      </c>
      <c r="P33" s="10" t="n">
        <f aca="false">M33*J33*N33</f>
        <v>40</v>
      </c>
      <c r="Q33" s="10" t="n">
        <f aca="false">M33*K33*N33</f>
        <v>40</v>
      </c>
      <c r="R33" s="15" t="n">
        <f aca="false">M33*L33*N33</f>
        <v>40</v>
      </c>
      <c r="S33" s="21" t="str">
        <f aca="false">IFERROR(INDEX(P_italia_outubro_2026!$D$27:$D$33,MATCH(B33,P_italia_outubro_2026!$A$27:$A$33,0)),"não")</f>
        <v>sim</v>
      </c>
      <c r="T33" s="37" t="n">
        <v>7</v>
      </c>
      <c r="V33" s="20" t="s">
        <v>134</v>
      </c>
      <c r="W33" s="20" t="s">
        <v>135</v>
      </c>
      <c r="X33" s="20" t="s">
        <v>221</v>
      </c>
    </row>
    <row r="34" customFormat="false" ht="15" hidden="false" customHeight="false" outlineLevel="0" collapsed="false">
      <c r="A34" s="41" t="s">
        <v>222</v>
      </c>
      <c r="B34" s="41" t="s">
        <v>108</v>
      </c>
      <c r="C34" s="41" t="s">
        <v>223</v>
      </c>
      <c r="D34" s="42"/>
      <c r="E34" s="43" t="n">
        <v>1</v>
      </c>
      <c r="F34" s="41" t="s">
        <v>70</v>
      </c>
      <c r="G34" s="41" t="s">
        <v>67</v>
      </c>
      <c r="H34" s="44" t="s">
        <v>77</v>
      </c>
      <c r="I34" s="45" t="n">
        <f aca="false">J34*IFERROR(INDEX(P_italia_outubro_2026!$C$27:$C$33,MATCH(B34,P_italia_outubro_2026!$A$27:$A$33,0)),1)</f>
        <v>60</v>
      </c>
      <c r="J34" s="46" t="n">
        <v>100</v>
      </c>
      <c r="K34" s="45" t="n">
        <f aca="false">J34</f>
        <v>100</v>
      </c>
      <c r="L34" s="15" t="n">
        <f aca="false">IF(H34="econômico",I34,IF(H34="upgrade",K34,J34))</f>
        <v>100</v>
      </c>
      <c r="M34" s="6" t="n">
        <f aca="false">E34*IF(OR(F34="pessoa",F34="pessoa-noite"),P_italia_outubro_2026!$B$8,1)</f>
        <v>1</v>
      </c>
      <c r="N34" s="40" t="n">
        <f aca="false">IFERROR(INDEX(P_italia_outubro_2026!$B$22:$B$22,MATCH(G34,P_italia_outubro_2026!$A$22:$A$22,0)),1)*(1+IF(G34=P_italia_outubro_2026!$B$9,0,P_italia_outubro_2026!$B$14))</f>
        <v>1</v>
      </c>
      <c r="O34" s="10" t="n">
        <f aca="false">M34*I34*N34</f>
        <v>60</v>
      </c>
      <c r="P34" s="10" t="n">
        <f aca="false">M34*J34*N34</f>
        <v>100</v>
      </c>
      <c r="Q34" s="10" t="n">
        <f aca="false">M34*K34*N34</f>
        <v>100</v>
      </c>
      <c r="R34" s="15" t="n">
        <f aca="false">M34*L34*N34</f>
        <v>100</v>
      </c>
      <c r="S34" s="21" t="str">
        <f aca="false">IFERROR(INDEX(P_italia_outubro_2026!$D$27:$D$33,MATCH(B34,P_italia_outubro_2026!$A$27:$A$33,0)),"não")</f>
        <v>não</v>
      </c>
      <c r="T34" s="37"/>
      <c r="V34" s="20"/>
      <c r="W34" s="20"/>
      <c r="X34" s="20" t="s">
        <v>110</v>
      </c>
    </row>
    <row r="36" customFormat="false" ht="15" hidden="false" customHeight="false" outlineLevel="0" collapsed="false">
      <c r="C36" s="8" t="s">
        <v>224</v>
      </c>
    </row>
    <row r="37" customFormat="false" ht="15" hidden="false" customHeight="false" outlineLevel="0" collapsed="false">
      <c r="C37" s="20" t="s">
        <v>225</v>
      </c>
    </row>
    <row r="38" customFormat="false" ht="15" hidden="false" customHeight="false" outlineLevel="0" collapsed="false">
      <c r="C38" s="20" t="s">
        <v>226</v>
      </c>
    </row>
    <row r="39" customFormat="false" ht="15" hidden="false" customHeight="false" outlineLevel="0" collapsed="false">
      <c r="C39" s="20" t="s">
        <v>227</v>
      </c>
    </row>
    <row r="40" customFormat="false" ht="15" hidden="false" customHeight="false" outlineLevel="0" collapsed="false">
      <c r="C40" s="20" t="s">
        <v>228</v>
      </c>
    </row>
    <row r="41" customFormat="false" ht="15" hidden="false" customHeight="false" outlineLevel="0" collapsed="false">
      <c r="C41" s="20" t="s">
        <v>229</v>
      </c>
    </row>
    <row r="42" customFormat="false" ht="15" hidden="false" customHeight="false" outlineLevel="0" collapsed="false">
      <c r="C42" s="20" t="s">
        <v>230</v>
      </c>
    </row>
  </sheetData>
  <autoFilter ref="A1:X34"/>
  <dataValidations count="3">
    <dataValidation allowBlank="false" errorStyle="stop" operator="between" showDropDown="false" showErrorMessage="false" showInputMessage="false" sqref="F2:F235" type="list">
      <formula1>"pessoa,total,noite,pessoa-noite"</formula1>
      <formula2>0</formula2>
    </dataValidation>
    <dataValidation allowBlank="false" errorStyle="stop" operator="between" showDropDown="false" showErrorMessage="false" showInputMessage="false" sqref="B2:B235" type="list">
      <formula1>P_italia_outubro_2026!$A$27:$A$33</formula1>
      <formula2>0</formula2>
    </dataValidation>
    <dataValidation allowBlank="false" errorStyle="stop" operator="between" showDropDown="false" showErrorMessage="false" showInputMessage="false" sqref="H2:H235" type="list">
      <formula1>"econômico,plano,upgrade"</formula1>
      <formula2>0</formula2>
    </dataValidation>
  </dataValidations>
  <hyperlinks>
    <hyperlink ref="U30" r:id="rId2" display="ticketing.colosseo.it"/>
    <hyperlink ref="U31" r:id="rId3" display="museivaticani.va"/>
    <hyperlink ref="U32" r:id="rId4" display="uffizi.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</v>
      </c>
    </row>
    <row r="2" customFormat="false" ht="15" hidden="false" customHeight="false" outlineLevel="0" collapsed="false">
      <c r="A2" s="2" t="s">
        <v>231</v>
      </c>
    </row>
    <row r="4" customFormat="false" ht="15" hidden="false" customHeight="false" outlineLevel="0" collapsed="false">
      <c r="A4" s="4" t="s">
        <v>40</v>
      </c>
      <c r="B4" s="5" t="n">
        <f aca="false">P_paris_outubro_2026!B4</f>
        <v>46302</v>
      </c>
      <c r="C4" s="5" t="n">
        <f aca="false">P_paris_outubro_2026!B5</f>
        <v>46306</v>
      </c>
    </row>
    <row r="5" customFormat="false" ht="15" hidden="false" customHeight="false" outlineLevel="0" collapsed="false">
      <c r="A5" s="4" t="s">
        <v>41</v>
      </c>
      <c r="B5" s="6" t="n">
        <f aca="false">P_paris_outubro_2026!B8</f>
        <v>2</v>
      </c>
      <c r="C5" s="6" t="n">
        <f aca="false">P_paris_outubro_2026!B6</f>
        <v>4</v>
      </c>
      <c r="D5" s="6" t="n">
        <f aca="false">P_paris_outubro_2026!B7</f>
        <v>5</v>
      </c>
    </row>
    <row r="7" customFormat="false" ht="30" hidden="false" customHeight="true" outlineLevel="0" collapsed="false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</row>
    <row r="8" customFormat="false" ht="15" hidden="false" customHeight="false" outlineLevel="0" collapsed="false">
      <c r="A8" s="21" t="str">
        <f aca="false">P_paris_outubro_2026!B27</f>
        <v>Voos</v>
      </c>
      <c r="B8" s="9" t="n">
        <f aca="false">SUMIFS(I_paris_outubro_2026!$O:$O,I_paris_outubro_2026!$B:$B,P_paris_outubro_2026!$A$27)</f>
        <v>160</v>
      </c>
      <c r="C8" s="9" t="n">
        <f aca="false">SUMIFS(I_paris_outubro_2026!$P:$P,I_paris_outubro_2026!$B:$B,P_paris_outubro_2026!$A$27)</f>
        <v>200</v>
      </c>
      <c r="D8" s="14" t="n">
        <f aca="false">SUMIFS(I_paris_outubro_2026!$R:$R,I_paris_outubro_2026!$B:$B,P_paris_outubro_2026!$A$27)</f>
        <v>200</v>
      </c>
      <c r="E8" s="9" t="n">
        <f aca="false">SUMIFS(I_paris_outubro_2026!$Q:$Q,I_paris_outubro_2026!$B:$B,P_paris_outubro_2026!$A$27)</f>
        <v>328</v>
      </c>
      <c r="H8" s="21" t="str">
        <f aca="false">P_paris_outubro_2026!D27</f>
        <v>não</v>
      </c>
    </row>
    <row r="9" customFormat="false" ht="15" hidden="false" customHeight="false" outlineLevel="0" collapsed="false">
      <c r="A9" s="21" t="str">
        <f aca="false">P_paris_outubro_2026!B28</f>
        <v>Hospedagem</v>
      </c>
      <c r="B9" s="9" t="n">
        <f aca="false">SUMIFS(I_paris_outubro_2026!$O:$O,I_paris_outubro_2026!$B:$B,P_paris_outubro_2026!$A$28)</f>
        <v>385</v>
      </c>
      <c r="C9" s="9" t="n">
        <f aca="false">SUMIFS(I_paris_outubro_2026!$P:$P,I_paris_outubro_2026!$B:$B,P_paris_outubro_2026!$A$28)</f>
        <v>510</v>
      </c>
      <c r="D9" s="14" t="n">
        <f aca="false">SUMIFS(I_paris_outubro_2026!$R:$R,I_paris_outubro_2026!$B:$B,P_paris_outubro_2026!$A$28)</f>
        <v>510</v>
      </c>
      <c r="E9" s="9" t="n">
        <f aca="false">SUMIFS(I_paris_outubro_2026!$Q:$Q,I_paris_outubro_2026!$B:$B,P_paris_outubro_2026!$A$28)</f>
        <v>785</v>
      </c>
      <c r="H9" s="21" t="str">
        <f aca="false">P_paris_outubro_2026!D28</f>
        <v>não</v>
      </c>
    </row>
    <row r="10" customFormat="false" ht="15" hidden="false" customHeight="false" outlineLevel="0" collapsed="false">
      <c r="A10" s="21" t="str">
        <f aca="false">P_paris_outubro_2026!B29</f>
        <v>Taxa de turismo</v>
      </c>
      <c r="B10" s="9" t="n">
        <f aca="false">SUMIFS(I_paris_outubro_2026!$O:$O,I_paris_outubro_2026!$B:$B,P_paris_outubro_2026!$A$29)</f>
        <v>23</v>
      </c>
      <c r="C10" s="9" t="n">
        <f aca="false">SUMIFS(I_paris_outubro_2026!$P:$P,I_paris_outubro_2026!$B:$B,P_paris_outubro_2026!$A$29)</f>
        <v>23</v>
      </c>
      <c r="D10" s="14" t="n">
        <f aca="false">SUMIFS(I_paris_outubro_2026!$R:$R,I_paris_outubro_2026!$B:$B,P_paris_outubro_2026!$A$29)</f>
        <v>23</v>
      </c>
      <c r="E10" s="9" t="n">
        <f aca="false">SUMIFS(I_paris_outubro_2026!$Q:$Q,I_paris_outubro_2026!$B:$B,P_paris_outubro_2026!$A$29)</f>
        <v>23</v>
      </c>
      <c r="H10" s="21" t="str">
        <f aca="false">P_paris_outubro_2026!D29</f>
        <v>não</v>
      </c>
    </row>
    <row r="11" customFormat="false" ht="15" hidden="false" customHeight="false" outlineLevel="0" collapsed="false">
      <c r="A11" s="22" t="str">
        <f aca="false">P_paris_outubro_2026!B30</f>
        <v>Alimentação</v>
      </c>
      <c r="B11" s="23" t="n">
        <f aca="false">SUMIFS(I_paris_outubro_2026!$O:$O,I_paris_outubro_2026!$B:$B,P_paris_outubro_2026!$A$30)</f>
        <v>262.8</v>
      </c>
      <c r="C11" s="23" t="n">
        <f aca="false">SUMIFS(I_paris_outubro_2026!$P:$P,I_paris_outubro_2026!$B:$B,P_paris_outubro_2026!$A$30)</f>
        <v>380</v>
      </c>
      <c r="D11" s="24" t="n">
        <f aca="false">SUMIFS(I_paris_outubro_2026!$R:$R,I_paris_outubro_2026!$B:$B,P_paris_outubro_2026!$A$30)</f>
        <v>380</v>
      </c>
      <c r="E11" s="23" t="n">
        <f aca="false">SUMIFS(I_paris_outubro_2026!$Q:$Q,I_paris_outubro_2026!$B:$B,P_paris_outubro_2026!$A$30)</f>
        <v>606.4</v>
      </c>
      <c r="F11" s="25"/>
      <c r="G11" s="25"/>
      <c r="H11" s="22" t="str">
        <f aca="false">P_paris_outubro_2026!D30</f>
        <v>sim</v>
      </c>
    </row>
    <row r="12" customFormat="false" ht="15" hidden="false" customHeight="false" outlineLevel="0" collapsed="false">
      <c r="A12" s="21" t="str">
        <f aca="false">P_paris_outubro_2026!B31</f>
        <v>Transporte local</v>
      </c>
      <c r="B12" s="9" t="n">
        <f aca="false">SUMIFS(I_paris_outubro_2026!$O:$O,I_paris_outubro_2026!$B:$B,P_paris_outubro_2026!$A$31)</f>
        <v>104.281</v>
      </c>
      <c r="C12" s="9" t="n">
        <f aca="false">SUMIFS(I_paris_outubro_2026!$P:$P,I_paris_outubro_2026!$B:$B,P_paris_outubro_2026!$A$31)</f>
        <v>128</v>
      </c>
      <c r="D12" s="14" t="n">
        <f aca="false">SUMIFS(I_paris_outubro_2026!$R:$R,I_paris_outubro_2026!$B:$B,P_paris_outubro_2026!$A$31)</f>
        <v>128</v>
      </c>
      <c r="E12" s="9" t="n">
        <f aca="false">SUMIFS(I_paris_outubro_2026!$Q:$Q,I_paris_outubro_2026!$B:$B,P_paris_outubro_2026!$A$31)</f>
        <v>264</v>
      </c>
      <c r="H12" s="21" t="str">
        <f aca="false">P_paris_outubro_2026!D31</f>
        <v>não</v>
      </c>
    </row>
    <row r="13" customFormat="false" ht="15" hidden="false" customHeight="false" outlineLevel="0" collapsed="false">
      <c r="A13" s="22" t="str">
        <f aca="false">P_paris_outubro_2026!B32</f>
        <v>Atrações</v>
      </c>
      <c r="B13" s="23" t="n">
        <f aca="false">SUMIFS(I_paris_outubro_2026!$O:$O,I_paris_outubro_2026!$B:$B,P_paris_outubro_2026!$A$32)</f>
        <v>413.4</v>
      </c>
      <c r="C13" s="23" t="n">
        <f aca="false">SUMIFS(I_paris_outubro_2026!$P:$P,I_paris_outubro_2026!$B:$B,P_paris_outubro_2026!$A$32)</f>
        <v>465</v>
      </c>
      <c r="D13" s="24" t="n">
        <f aca="false">SUMIFS(I_paris_outubro_2026!$R:$R,I_paris_outubro_2026!$B:$B,P_paris_outubro_2026!$A$32)</f>
        <v>465</v>
      </c>
      <c r="E13" s="23" t="n">
        <f aca="false">SUMIFS(I_paris_outubro_2026!$Q:$Q,I_paris_outubro_2026!$B:$B,P_paris_outubro_2026!$A$32)</f>
        <v>691.8</v>
      </c>
      <c r="F13" s="25"/>
      <c r="G13" s="25"/>
      <c r="H13" s="22" t="str">
        <f aca="false">P_paris_outubro_2026!D32</f>
        <v>sim</v>
      </c>
    </row>
    <row r="14" customFormat="false" ht="15" hidden="false" customHeight="false" outlineLevel="0" collapsed="false">
      <c r="A14" s="21" t="str">
        <f aca="false">P_paris_outubro_2026!B33</f>
        <v>Extras e compras</v>
      </c>
      <c r="B14" s="9" t="n">
        <f aca="false">SUMIFS(I_paris_outubro_2026!$O:$O,I_paris_outubro_2026!$B:$B,P_paris_outubro_2026!$A$33)</f>
        <v>40</v>
      </c>
      <c r="C14" s="9" t="n">
        <f aca="false">SUMIFS(I_paris_outubro_2026!$P:$P,I_paris_outubro_2026!$B:$B,P_paris_outubro_2026!$A$33)</f>
        <v>80</v>
      </c>
      <c r="D14" s="14" t="n">
        <f aca="false">SUMIFS(I_paris_outubro_2026!$R:$R,I_paris_outubro_2026!$B:$B,P_paris_outubro_2026!$A$33)</f>
        <v>80</v>
      </c>
      <c r="E14" s="9" t="n">
        <f aca="false">SUMIFS(I_paris_outubro_2026!$Q:$Q,I_paris_outubro_2026!$B:$B,P_paris_outubro_2026!$A$33)</f>
        <v>80</v>
      </c>
      <c r="H14" s="21" t="str">
        <f aca="false">P_paris_outubro_2026!D33</f>
        <v>não</v>
      </c>
    </row>
    <row r="15" customFormat="false" ht="15" hidden="false" customHeight="false" outlineLevel="0" collapsed="false">
      <c r="A15" s="11" t="s">
        <v>50</v>
      </c>
      <c r="B15" s="13" t="n">
        <f aca="false">SUM(B8:B14)</f>
        <v>1388.481</v>
      </c>
      <c r="C15" s="13" t="n">
        <f aca="false">SUM(C8:C14)</f>
        <v>1786</v>
      </c>
      <c r="D15" s="13" t="n">
        <f aca="false">SUM(D8:D14)</f>
        <v>1786</v>
      </c>
      <c r="E15" s="13" t="n">
        <f aca="false">SUM(E8:E14)</f>
        <v>2778.2</v>
      </c>
      <c r="F15" s="26"/>
      <c r="G15" s="26"/>
      <c r="H15" s="26"/>
    </row>
    <row r="16" customFormat="false" ht="15" hidden="false" customHeight="false" outlineLevel="0" collapsed="false">
      <c r="A16" s="4" t="s">
        <v>20</v>
      </c>
      <c r="B16" s="10" t="n">
        <f aca="false">B15*P_paris_outubro_2026!$B$13</f>
        <v>138.8481</v>
      </c>
      <c r="C16" s="10" t="n">
        <f aca="false">C15*P_paris_outubro_2026!$B$13</f>
        <v>178.6</v>
      </c>
      <c r="D16" s="15" t="n">
        <f aca="false">D15*P_paris_outubro_2026!$B$13</f>
        <v>178.6</v>
      </c>
      <c r="E16" s="10" t="n">
        <f aca="false">E15*P_paris_outubro_2026!$B$13</f>
        <v>277.82</v>
      </c>
    </row>
    <row r="17" customFormat="false" ht="15" hidden="false" customHeight="false" outlineLevel="0" collapsed="false">
      <c r="A17" s="11" t="s">
        <v>21</v>
      </c>
      <c r="B17" s="13" t="n">
        <f aca="false">B15+B16</f>
        <v>1527.3291</v>
      </c>
      <c r="C17" s="13" t="n">
        <f aca="false">C15+C16</f>
        <v>1964.6</v>
      </c>
      <c r="D17" s="13" t="n">
        <f aca="false">D15+D16</f>
        <v>1964.6</v>
      </c>
      <c r="E17" s="13" t="n">
        <f aca="false">E15+E16</f>
        <v>3056.02</v>
      </c>
      <c r="F17" s="26"/>
      <c r="G17" s="26"/>
      <c r="H17" s="26"/>
    </row>
    <row r="19" customFormat="false" ht="15" hidden="false" customHeight="false" outlineLevel="0" collapsed="false">
      <c r="A19" s="4" t="s">
        <v>26</v>
      </c>
      <c r="B19" s="10" t="n">
        <f aca="false">B15/P_paris_outubro_2026!$B$8</f>
        <v>694.2405</v>
      </c>
      <c r="C19" s="10" t="n">
        <f aca="false">C15/P_paris_outubro_2026!$B$8</f>
        <v>893</v>
      </c>
      <c r="D19" s="15" t="n">
        <f aca="false">D15/P_paris_outubro_2026!$B$8</f>
        <v>893</v>
      </c>
      <c r="E19" s="10" t="n">
        <f aca="false">E15/P_paris_outubro_2026!$B$8</f>
        <v>1389.1</v>
      </c>
    </row>
    <row r="20" customFormat="false" ht="15" hidden="false" customHeight="false" outlineLevel="0" collapsed="false">
      <c r="A20" s="4" t="s">
        <v>27</v>
      </c>
      <c r="B20" s="10" t="n">
        <f aca="false">B15/P_paris_outubro_2026!$B$7</f>
        <v>277.6962</v>
      </c>
      <c r="C20" s="10" t="n">
        <f aca="false">C15/P_paris_outubro_2026!$B$7</f>
        <v>357.2</v>
      </c>
      <c r="D20" s="15" t="n">
        <f aca="false">D15/P_paris_outubro_2026!$B$7</f>
        <v>357.2</v>
      </c>
      <c r="E20" s="10" t="n">
        <f aca="false">E15/P_paris_outubro_2026!$B$7</f>
        <v>555.64</v>
      </c>
    </row>
    <row r="21" customFormat="false" ht="15" hidden="false" customHeight="false" outlineLevel="0" collapsed="false">
      <c r="A21" s="4" t="s">
        <v>28</v>
      </c>
      <c r="B21" s="10" t="n">
        <f aca="false">B15/P_paris_outubro_2026!$B$8/P_paris_outubro_2026!$B$7</f>
        <v>138.8481</v>
      </c>
      <c r="C21" s="10" t="n">
        <f aca="false">C15/P_paris_outubro_2026!$B$8/P_paris_outubro_2026!$B$7</f>
        <v>178.6</v>
      </c>
      <c r="D21" s="15" t="n">
        <f aca="false">D15/P_paris_outubro_2026!$B$8/P_paris_outubro_2026!$B$7</f>
        <v>178.6</v>
      </c>
      <c r="E21" s="10" t="n">
        <f aca="false">E15/P_paris_outubro_2026!$B$8/P_paris_outubro_2026!$B$7</f>
        <v>277.82</v>
      </c>
    </row>
    <row r="22" customFormat="false" ht="15" hidden="false" customHeight="false" outlineLevel="0" collapsed="false">
      <c r="A22" s="4" t="s">
        <v>51</v>
      </c>
      <c r="B22" s="10" t="n">
        <f aca="false">B15-SUMIFS(I_paris_outubro_2026!$O:$O,I_paris_outubro_2026!$B:$B,"voos")</f>
        <v>1228.481</v>
      </c>
      <c r="C22" s="10" t="n">
        <f aca="false">C15-SUMIFS(I_paris_outubro_2026!$P:$P,I_paris_outubro_2026!$B:$B,"voos")</f>
        <v>1586</v>
      </c>
      <c r="D22" s="15" t="n">
        <f aca="false">D15-SUMIFS(I_paris_outubro_2026!$R:$R,I_paris_outubro_2026!$B:$B,"voos")</f>
        <v>1586</v>
      </c>
      <c r="E22" s="10" t="n">
        <f aca="false">E15-SUMIFS(I_paris_outubro_2026!$Q:$Q,I_paris_outubro_2026!$B:$B,"voos")</f>
        <v>2450.2</v>
      </c>
    </row>
    <row r="23" customFormat="false" ht="15" hidden="false" customHeight="false" outlineLevel="0" collapsed="false">
      <c r="A23" s="4" t="s">
        <v>52</v>
      </c>
      <c r="B23" s="17" t="n">
        <f aca="false">IF(B22=0,0,SUMIFS(I_paris_outubro_2026!$O:$O,I_paris_outubro_2026!$B:$B,"alimentacao")/B22)</f>
        <v>0.213922722451548</v>
      </c>
      <c r="C23" s="17" t="n">
        <f aca="false">IF(C22=0,0,SUMIFS(I_paris_outubro_2026!$P:$P,I_paris_outubro_2026!$B:$B,"alimentacao")/C22)</f>
        <v>0.239596469104666</v>
      </c>
      <c r="D23" s="27" t="n">
        <f aca="false">IF(D22=0,0,SUMIFS(I_paris_outubro_2026!$R:$R,I_paris_outubro_2026!$B:$B,"alimentacao")/D22)</f>
        <v>0.239596469104666</v>
      </c>
      <c r="E23" s="17" t="n">
        <f aca="false">IF(E22=0,0,SUMIFS(I_paris_outubro_2026!$Q:$Q,I_paris_outubro_2026!$B:$B,"alimentacao")/E22)</f>
        <v>0.24749000081626</v>
      </c>
      <c r="H23" s="2" t="s">
        <v>53</v>
      </c>
    </row>
    <row r="25" customFormat="false" ht="15" hidden="false" customHeight="false" outlineLevel="0" collapsed="false">
      <c r="A25" s="8" t="s">
        <v>31</v>
      </c>
      <c r="B25" s="15" t="n">
        <f aca="false">P_paris_outubro_2026!$B$12</f>
        <v>2000</v>
      </c>
      <c r="C25" s="15" t="n">
        <f aca="false">P_paris_outubro_2026!$B$12</f>
        <v>2000</v>
      </c>
      <c r="D25" s="15" t="n">
        <f aca="false">P_paris_outubro_2026!$B$12</f>
        <v>2000</v>
      </c>
      <c r="E25" s="15" t="n">
        <f aca="false">P_paris_outubro_2026!$B$12</f>
        <v>2000</v>
      </c>
    </row>
    <row r="26" customFormat="false" ht="15" hidden="false" customHeight="false" outlineLevel="0" collapsed="false">
      <c r="A26" s="8" t="s">
        <v>32</v>
      </c>
      <c r="B26" s="15" t="n">
        <f aca="false">B25-B17</f>
        <v>472.6709</v>
      </c>
      <c r="C26" s="15" t="n">
        <f aca="false">C25-C17</f>
        <v>35.4000000000001</v>
      </c>
      <c r="D26" s="15" t="n">
        <f aca="false">D25-D17</f>
        <v>35.4000000000001</v>
      </c>
      <c r="E26" s="15" t="n">
        <f aca="false">E25-E17</f>
        <v>-1056.02</v>
      </c>
    </row>
    <row r="27" customFormat="false" ht="15" hidden="false" customHeight="false" outlineLevel="0" collapsed="false">
      <c r="A27" s="4" t="s">
        <v>54</v>
      </c>
      <c r="B27" s="17" t="n">
        <f aca="false">IF(B25=0,0,B17/B25)</f>
        <v>0.76366455</v>
      </c>
      <c r="C27" s="17" t="n">
        <f aca="false">IF(C25=0,0,C17/C25)</f>
        <v>0.9823</v>
      </c>
      <c r="D27" s="27" t="n">
        <f aca="false">IF(D25=0,0,D17/D25)</f>
        <v>0.9823</v>
      </c>
      <c r="E27" s="17" t="n">
        <f aca="false">IF(E25=0,0,E17/E25)</f>
        <v>1.52801</v>
      </c>
    </row>
    <row r="28" customFormat="false" ht="15" hidden="false" customHeight="false" outlineLevel="0" collapsed="false">
      <c r="A28" s="8" t="s">
        <v>33</v>
      </c>
      <c r="B28" s="8" t="str">
        <f aca="false">IF(B26&gt;=0,"cabe, sobram "&amp;TEXT(B26,"#,##0")&amp;" €","faltam "&amp;TEXT(-B26,"#,##0")&amp;" €")</f>
        <v>cabe, sobram 473 €</v>
      </c>
      <c r="C28" s="8" t="str">
        <f aca="false">IF(C26&gt;=0,"cabe, sobram "&amp;TEXT(C26,"#,##0")&amp;" €","faltam "&amp;TEXT(-C26,"#,##0")&amp;" €")</f>
        <v>cabe, sobram 35 €</v>
      </c>
      <c r="D28" s="8" t="str">
        <f aca="false">IF(D26&gt;=0,"cabe, sobram "&amp;TEXT(D26,"#,##0")&amp;" €","faltam "&amp;TEXT(-D26,"#,##0")&amp;" €")</f>
        <v>cabe, sobram 35 €</v>
      </c>
      <c r="E28" s="8" t="str">
        <f aca="false">IF(E26&gt;=0,"cabe, sobram "&amp;TEXT(E26,"#,##0")&amp;" €","faltam "&amp;TEXT(-E26,"#,##0")&amp;" €")</f>
        <v>faltam 1,056 €</v>
      </c>
    </row>
    <row r="29" customFormat="false" ht="15" hidden="false" customHeight="false" outlineLevel="0" collapsed="false">
      <c r="A29" s="4" t="s">
        <v>55</v>
      </c>
      <c r="D29" s="21" t="str">
        <f aca="false">COUNTIF(I_paris_outubro_2026!$H:$H,"upgrade")&amp;" up · "&amp;COUNTIF(I_paris_outubro_2026!$H:$H,"econômico")&amp;" eco"</f>
        <v>0 up · 0 eco</v>
      </c>
    </row>
    <row r="31" customFormat="false" ht="15" hidden="false" customHeight="false" outlineLevel="0" collapsed="false">
      <c r="A31" s="8" t="s">
        <v>56</v>
      </c>
    </row>
    <row r="32" customFormat="false" ht="15" hidden="false" customHeight="false" outlineLevel="0" collapsed="false">
      <c r="A32" s="20" t="s">
        <v>57</v>
      </c>
    </row>
    <row r="33" customFormat="false" ht="15" hidden="false" customHeight="false" outlineLevel="0" collapsed="false">
      <c r="A33" s="20" t="s">
        <v>58</v>
      </c>
    </row>
    <row r="34" customFormat="false" ht="15" hidden="false" customHeight="false" outlineLevel="0" collapsed="false">
      <c r="A34" s="20" t="s">
        <v>59</v>
      </c>
    </row>
    <row r="35" customFormat="false" ht="15" hidden="false" customHeight="false" outlineLevel="0" collapsed="false">
      <c r="A35" s="2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4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4" t="s">
        <v>62</v>
      </c>
      <c r="B3" s="28" t="s">
        <v>232</v>
      </c>
    </row>
    <row r="4" customFormat="false" ht="15" hidden="false" customHeight="false" outlineLevel="0" collapsed="false">
      <c r="A4" s="4" t="s">
        <v>6</v>
      </c>
      <c r="B4" s="29" t="n">
        <v>46302</v>
      </c>
    </row>
    <row r="5" customFormat="false" ht="15" hidden="false" customHeight="false" outlineLevel="0" collapsed="false">
      <c r="A5" s="4" t="s">
        <v>7</v>
      </c>
      <c r="B5" s="29" t="n">
        <v>46306</v>
      </c>
    </row>
    <row r="6" customFormat="false" ht="15" hidden="false" customHeight="false" outlineLevel="0" collapsed="false">
      <c r="A6" s="4" t="s">
        <v>8</v>
      </c>
      <c r="B6" s="7" t="n">
        <f aca="false">B5-B4</f>
        <v>4</v>
      </c>
      <c r="E6" s="2" t="s">
        <v>64</v>
      </c>
    </row>
    <row r="7" customFormat="false" ht="15" hidden="false" customHeight="false" outlineLevel="0" collapsed="false">
      <c r="A7" s="4" t="s">
        <v>65</v>
      </c>
      <c r="B7" s="7" t="n">
        <f aca="false">B5-B4+1</f>
        <v>5</v>
      </c>
      <c r="E7" s="2" t="s">
        <v>64</v>
      </c>
    </row>
    <row r="8" customFormat="false" ht="15" hidden="false" customHeight="false" outlineLevel="0" collapsed="false">
      <c r="A8" s="4" t="s">
        <v>10</v>
      </c>
      <c r="B8" s="30" t="n">
        <v>2</v>
      </c>
    </row>
    <row r="9" customFormat="false" ht="15" hidden="false" customHeight="false" outlineLevel="0" collapsed="false">
      <c r="A9" s="4" t="s">
        <v>66</v>
      </c>
      <c r="B9" s="28" t="s">
        <v>67</v>
      </c>
    </row>
    <row r="10" customFormat="false" ht="15" hidden="false" customHeight="false" outlineLevel="0" collapsed="false">
      <c r="A10" s="4" t="s">
        <v>68</v>
      </c>
      <c r="B10" s="31" t="n">
        <v>2000</v>
      </c>
    </row>
    <row r="11" customFormat="false" ht="15" hidden="false" customHeight="false" outlineLevel="0" collapsed="false">
      <c r="A11" s="4" t="s">
        <v>69</v>
      </c>
      <c r="B11" s="32" t="s">
        <v>70</v>
      </c>
      <c r="E11" s="2" t="s">
        <v>71</v>
      </c>
    </row>
    <row r="12" customFormat="false" ht="15" hidden="false" customHeight="false" outlineLevel="0" collapsed="false">
      <c r="A12" s="4" t="s">
        <v>31</v>
      </c>
      <c r="B12" s="33" t="n">
        <f aca="false">IF(B11="pessoa",B10*B8,B10)</f>
        <v>2000</v>
      </c>
      <c r="E12" s="2" t="s">
        <v>64</v>
      </c>
    </row>
    <row r="13" customFormat="false" ht="15" hidden="false" customHeight="false" outlineLevel="0" collapsed="false">
      <c r="A13" s="4" t="s">
        <v>72</v>
      </c>
      <c r="B13" s="34" t="n">
        <v>0.1</v>
      </c>
      <c r="E13" s="2" t="s">
        <v>73</v>
      </c>
    </row>
    <row r="14" customFormat="false" ht="15" hidden="false" customHeight="false" outlineLevel="0" collapsed="false">
      <c r="A14" s="4" t="s">
        <v>74</v>
      </c>
      <c r="B14" s="34" t="n">
        <v>0</v>
      </c>
      <c r="E14" s="2" t="s">
        <v>75</v>
      </c>
    </row>
    <row r="15" customFormat="false" ht="15" hidden="false" customHeight="false" outlineLevel="0" collapsed="false">
      <c r="A15" s="4" t="s">
        <v>76</v>
      </c>
      <c r="B15" s="28" t="s">
        <v>77</v>
      </c>
      <c r="E15" s="2" t="s">
        <v>78</v>
      </c>
    </row>
    <row r="16" customFormat="false" ht="15" hidden="false" customHeight="false" outlineLevel="0" collapsed="false">
      <c r="A16" s="4" t="s">
        <v>79</v>
      </c>
      <c r="B16" s="29" t="n">
        <v>46277</v>
      </c>
    </row>
    <row r="17" customFormat="false" ht="15" hidden="false" customHeight="false" outlineLevel="0" collapsed="false">
      <c r="A17" s="4" t="s">
        <v>80</v>
      </c>
      <c r="B17" s="28" t="s">
        <v>233</v>
      </c>
    </row>
    <row r="20" customFormat="false" ht="15" hidden="false" customHeight="false" outlineLevel="0" collapsed="false">
      <c r="A20" s="8" t="s">
        <v>82</v>
      </c>
    </row>
    <row r="21" customFormat="false" ht="30" hidden="false" customHeight="true" outlineLevel="0" collapsed="false">
      <c r="A21" s="3" t="s">
        <v>83</v>
      </c>
      <c r="B21" s="3" t="s">
        <v>84</v>
      </c>
      <c r="C21" s="3" t="s">
        <v>85</v>
      </c>
      <c r="D21" s="3"/>
      <c r="E21" s="3" t="s">
        <v>86</v>
      </c>
    </row>
    <row r="22" customFormat="false" ht="15" hidden="false" customHeight="false" outlineLevel="0" collapsed="false">
      <c r="A22" s="28" t="s">
        <v>67</v>
      </c>
      <c r="B22" s="35" t="n">
        <v>1</v>
      </c>
      <c r="C22" s="29" t="n">
        <v>46277</v>
      </c>
      <c r="E22" s="2" t="s">
        <v>87</v>
      </c>
    </row>
    <row r="25" customFormat="false" ht="15" hidden="false" customHeight="false" outlineLevel="0" collapsed="false">
      <c r="A25" s="8" t="s">
        <v>88</v>
      </c>
      <c r="E25" s="2" t="s">
        <v>89</v>
      </c>
    </row>
    <row r="26" customFormat="false" ht="30" hidden="false" customHeight="true" outlineLevel="0" collapsed="false">
      <c r="A26" s="3" t="s">
        <v>90</v>
      </c>
      <c r="B26" s="3" t="s">
        <v>91</v>
      </c>
      <c r="C26" s="3" t="s">
        <v>92</v>
      </c>
      <c r="D26" s="3" t="s">
        <v>49</v>
      </c>
      <c r="E26" s="3" t="s">
        <v>93</v>
      </c>
    </row>
    <row r="27" customFormat="false" ht="15" hidden="false" customHeight="false" outlineLevel="0" collapsed="false">
      <c r="A27" s="28" t="s">
        <v>94</v>
      </c>
      <c r="B27" s="28" t="s">
        <v>12</v>
      </c>
      <c r="C27" s="36" t="n">
        <v>0.8</v>
      </c>
      <c r="D27" s="28" t="s">
        <v>95</v>
      </c>
      <c r="E27" s="20" t="s">
        <v>234</v>
      </c>
    </row>
    <row r="28" customFormat="false" ht="15" hidden="false" customHeight="false" outlineLevel="0" collapsed="false">
      <c r="A28" s="28" t="s">
        <v>97</v>
      </c>
      <c r="B28" s="28" t="s">
        <v>13</v>
      </c>
      <c r="C28" s="36" t="n">
        <v>0.8627</v>
      </c>
      <c r="D28" s="28" t="s">
        <v>95</v>
      </c>
      <c r="E28" s="20" t="s">
        <v>235</v>
      </c>
    </row>
    <row r="29" customFormat="false" ht="15" hidden="false" customHeight="false" outlineLevel="0" collapsed="false">
      <c r="A29" s="28" t="s">
        <v>99</v>
      </c>
      <c r="B29" s="28" t="s">
        <v>14</v>
      </c>
      <c r="C29" s="36" t="n">
        <v>1</v>
      </c>
      <c r="D29" s="28" t="s">
        <v>95</v>
      </c>
      <c r="E29" s="20" t="s">
        <v>236</v>
      </c>
    </row>
    <row r="30" customFormat="false" ht="15" hidden="false" customHeight="false" outlineLevel="0" collapsed="false">
      <c r="A30" s="28" t="s">
        <v>101</v>
      </c>
      <c r="B30" s="28" t="s">
        <v>15</v>
      </c>
      <c r="C30" s="36" t="n">
        <v>1</v>
      </c>
      <c r="D30" s="28" t="s">
        <v>102</v>
      </c>
      <c r="E30" s="20" t="s">
        <v>237</v>
      </c>
    </row>
    <row r="31" customFormat="false" ht="15" hidden="false" customHeight="false" outlineLevel="0" collapsed="false">
      <c r="A31" s="28" t="s">
        <v>104</v>
      </c>
      <c r="B31" s="28" t="s">
        <v>16</v>
      </c>
      <c r="C31" s="36" t="n">
        <v>0.8281</v>
      </c>
      <c r="D31" s="28" t="s">
        <v>95</v>
      </c>
      <c r="E31" s="20" t="s">
        <v>238</v>
      </c>
    </row>
    <row r="32" customFormat="false" ht="15" hidden="false" customHeight="false" outlineLevel="0" collapsed="false">
      <c r="A32" s="28" t="s">
        <v>106</v>
      </c>
      <c r="B32" s="28" t="s">
        <v>17</v>
      </c>
      <c r="C32" s="36" t="n">
        <v>1</v>
      </c>
      <c r="D32" s="28" t="s">
        <v>102</v>
      </c>
      <c r="E32" s="20" t="s">
        <v>239</v>
      </c>
    </row>
    <row r="33" customFormat="false" ht="15" hidden="false" customHeight="false" outlineLevel="0" collapsed="false">
      <c r="A33" s="28" t="s">
        <v>108</v>
      </c>
      <c r="B33" s="28" t="s">
        <v>109</v>
      </c>
      <c r="C33" s="36" t="n">
        <v>0.5</v>
      </c>
      <c r="D33" s="28" t="s">
        <v>95</v>
      </c>
      <c r="E33" s="20" t="s">
        <v>240</v>
      </c>
    </row>
  </sheetData>
  <dataValidations count="2">
    <dataValidation allowBlank="false" errorStyle="stop" operator="between" showDropDown="false" showErrorMessage="false" showInputMessage="false" sqref="B11" type="list">
      <formula1>"total,pessoa"</formula1>
      <formula2>0</formula2>
    </dataValidation>
    <dataValidation allowBlank="false" errorStyle="stop" operator="between" showDropDown="false" showErrorMessage="false" showInputMessage="false" sqref="D27:D33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5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7" min="15" style="0" width="15"/>
    <col collapsed="false" customWidth="true" hidden="false" outlineLevel="0" max="18" min="18" style="0" width="16"/>
    <col collapsed="false" customWidth="true" hidden="false" outlineLevel="0" max="19" min="19" style="0" width="9"/>
    <col collapsed="false" customWidth="true" hidden="false" outlineLevel="0" max="20" min="20" style="0" width="5"/>
    <col collapsed="false" customWidth="true" hidden="false" outlineLevel="0" max="21" min="21" style="0" width="34"/>
    <col collapsed="false" customWidth="true" hidden="false" outlineLevel="0" max="23" min="22" style="0" width="40"/>
    <col collapsed="false" customWidth="true" hidden="false" outlineLevel="0" max="24" min="24" style="0" width="60"/>
  </cols>
  <sheetData>
    <row r="1" customFormat="false" ht="30" hidden="false" customHeight="true" outlineLevel="0" collapsed="false">
      <c r="A1" s="3" t="s">
        <v>90</v>
      </c>
      <c r="B1" s="3" t="s">
        <v>42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83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122</v>
      </c>
      <c r="P1" s="3" t="s">
        <v>123</v>
      </c>
      <c r="Q1" s="3" t="s">
        <v>124</v>
      </c>
      <c r="R1" s="3" t="s">
        <v>125</v>
      </c>
      <c r="S1" s="3" t="s">
        <v>49</v>
      </c>
      <c r="T1" s="3" t="s">
        <v>126</v>
      </c>
      <c r="U1" s="3" t="s">
        <v>127</v>
      </c>
      <c r="V1" s="3" t="s">
        <v>128</v>
      </c>
      <c r="W1" s="3" t="s">
        <v>129</v>
      </c>
      <c r="X1" s="3" t="s">
        <v>130</v>
      </c>
    </row>
    <row r="2" customFormat="false" ht="15" hidden="false" customHeight="false" outlineLevel="0" collapsed="false">
      <c r="A2" s="28" t="s">
        <v>131</v>
      </c>
      <c r="B2" s="28" t="s">
        <v>94</v>
      </c>
      <c r="C2" s="28" t="s">
        <v>241</v>
      </c>
      <c r="D2" s="29" t="n">
        <v>46302</v>
      </c>
      <c r="E2" s="37" t="n">
        <v>1</v>
      </c>
      <c r="F2" s="28" t="s">
        <v>133</v>
      </c>
      <c r="G2" s="28" t="s">
        <v>67</v>
      </c>
      <c r="H2" s="38" t="s">
        <v>77</v>
      </c>
      <c r="I2" s="39" t="n">
        <v>40</v>
      </c>
      <c r="J2" s="39" t="n">
        <v>50</v>
      </c>
      <c r="K2" s="39" t="n">
        <v>82</v>
      </c>
      <c r="L2" s="15" t="n">
        <f aca="false">IF(H2="econômico",I2,IF(H2="upgrade",K2,J2))</f>
        <v>50</v>
      </c>
      <c r="M2" s="6" t="n">
        <f aca="false">E2*IF(OR(F2="pessoa",F2="pessoa-noite"),P_paris_outubro_2026!$B$8,1)</f>
        <v>2</v>
      </c>
      <c r="N2" s="40" t="n">
        <f aca="false">IFERROR(INDEX(P_paris_outubro_2026!$B$22:$B$22,MATCH(G2,P_paris_outubro_2026!$A$22:$A$22,0)),1)*(1+IF(G2=P_paris_outubro_2026!$B$9,0,P_paris_outubro_2026!$B$14))</f>
        <v>1</v>
      </c>
      <c r="O2" s="10" t="n">
        <f aca="false">M2*I2*N2</f>
        <v>80</v>
      </c>
      <c r="P2" s="10" t="n">
        <f aca="false">M2*J2*N2</f>
        <v>100</v>
      </c>
      <c r="Q2" s="10" t="n">
        <f aca="false">M2*K2*N2</f>
        <v>164</v>
      </c>
      <c r="R2" s="15" t="n">
        <f aca="false">M2*L2*N2</f>
        <v>100</v>
      </c>
      <c r="S2" s="21" t="str">
        <f aca="false">IFERROR(INDEX(P_paris_outubro_2026!$D$27:$D$33,MATCH(B2,P_paris_outubro_2026!$A$27:$A$33,0)),"não")</f>
        <v>não</v>
      </c>
      <c r="T2" s="37"/>
      <c r="U2" s="47" t="s">
        <v>242</v>
      </c>
      <c r="V2" s="20" t="s">
        <v>243</v>
      </c>
      <c r="W2" s="20" t="s">
        <v>244</v>
      </c>
      <c r="X2" s="20" t="s">
        <v>136</v>
      </c>
    </row>
    <row r="3" customFormat="false" ht="15" hidden="false" customHeight="false" outlineLevel="0" collapsed="false">
      <c r="A3" s="28" t="s">
        <v>137</v>
      </c>
      <c r="B3" s="28" t="s">
        <v>94</v>
      </c>
      <c r="C3" s="28" t="s">
        <v>245</v>
      </c>
      <c r="D3" s="29" t="n">
        <v>46306</v>
      </c>
      <c r="E3" s="37" t="n">
        <v>1</v>
      </c>
      <c r="F3" s="28" t="s">
        <v>133</v>
      </c>
      <c r="G3" s="28" t="s">
        <v>67</v>
      </c>
      <c r="H3" s="38" t="s">
        <v>77</v>
      </c>
      <c r="I3" s="39" t="n">
        <v>40</v>
      </c>
      <c r="J3" s="39" t="n">
        <v>50</v>
      </c>
      <c r="K3" s="39" t="n">
        <v>82</v>
      </c>
      <c r="L3" s="15" t="n">
        <f aca="false">IF(H3="econômico",I3,IF(H3="upgrade",K3,J3))</f>
        <v>50</v>
      </c>
      <c r="M3" s="6" t="n">
        <f aca="false">E3*IF(OR(F3="pessoa",F3="pessoa-noite"),P_paris_outubro_2026!$B$8,1)</f>
        <v>2</v>
      </c>
      <c r="N3" s="40" t="n">
        <f aca="false">IFERROR(INDEX(P_paris_outubro_2026!$B$22:$B$22,MATCH(G3,P_paris_outubro_2026!$A$22:$A$22,0)),1)*(1+IF(G3=P_paris_outubro_2026!$B$9,0,P_paris_outubro_2026!$B$14))</f>
        <v>1</v>
      </c>
      <c r="O3" s="10" t="n">
        <f aca="false">M3*I3*N3</f>
        <v>80</v>
      </c>
      <c r="P3" s="10" t="n">
        <f aca="false">M3*J3*N3</f>
        <v>100</v>
      </c>
      <c r="Q3" s="10" t="n">
        <f aca="false">M3*K3*N3</f>
        <v>164</v>
      </c>
      <c r="R3" s="15" t="n">
        <f aca="false">M3*L3*N3</f>
        <v>100</v>
      </c>
      <c r="S3" s="21" t="str">
        <f aca="false">IFERROR(INDEX(P_paris_outubro_2026!$D$27:$D$33,MATCH(B3,P_paris_outubro_2026!$A$27:$A$33,0)),"não")</f>
        <v>não</v>
      </c>
      <c r="T3" s="37"/>
      <c r="U3" s="47" t="s">
        <v>242</v>
      </c>
      <c r="V3" s="20" t="s">
        <v>243</v>
      </c>
      <c r="W3" s="20" t="s">
        <v>244</v>
      </c>
      <c r="X3" s="20" t="s">
        <v>136</v>
      </c>
    </row>
    <row r="4" customFormat="false" ht="15" hidden="false" customHeight="false" outlineLevel="0" collapsed="false">
      <c r="A4" s="28" t="s">
        <v>246</v>
      </c>
      <c r="B4" s="28" t="s">
        <v>97</v>
      </c>
      <c r="C4" s="28" t="s">
        <v>247</v>
      </c>
      <c r="D4" s="29" t="n">
        <v>46302</v>
      </c>
      <c r="E4" s="37" t="n">
        <v>3</v>
      </c>
      <c r="F4" s="28" t="s">
        <v>141</v>
      </c>
      <c r="G4" s="28" t="s">
        <v>67</v>
      </c>
      <c r="H4" s="38" t="s">
        <v>77</v>
      </c>
      <c r="I4" s="39" t="n">
        <v>105</v>
      </c>
      <c r="J4" s="39" t="n">
        <v>130</v>
      </c>
      <c r="K4" s="39" t="n">
        <v>175</v>
      </c>
      <c r="L4" s="15" t="n">
        <f aca="false">IF(H4="econômico",I4,IF(H4="upgrade",K4,J4))</f>
        <v>130</v>
      </c>
      <c r="M4" s="6" t="n">
        <f aca="false">E4*IF(OR(F4="pessoa",F4="pessoa-noite"),P_paris_outubro_2026!$B$8,1)</f>
        <v>3</v>
      </c>
      <c r="N4" s="40" t="n">
        <f aca="false">IFERROR(INDEX(P_paris_outubro_2026!$B$22:$B$22,MATCH(G4,P_paris_outubro_2026!$A$22:$A$22,0)),1)*(1+IF(G4=P_paris_outubro_2026!$B$9,0,P_paris_outubro_2026!$B$14))</f>
        <v>1</v>
      </c>
      <c r="O4" s="10" t="n">
        <f aca="false">M4*I4*N4</f>
        <v>315</v>
      </c>
      <c r="P4" s="10" t="n">
        <f aca="false">M4*J4*N4</f>
        <v>390</v>
      </c>
      <c r="Q4" s="10" t="n">
        <f aca="false">M4*K4*N4</f>
        <v>525</v>
      </c>
      <c r="R4" s="15" t="n">
        <f aca="false">M4*L4*N4</f>
        <v>390</v>
      </c>
      <c r="S4" s="21" t="str">
        <f aca="false">IFERROR(INDEX(P_paris_outubro_2026!$D$27:$D$33,MATCH(B4,P_paris_outubro_2026!$A$27:$A$33,0)),"não")</f>
        <v>não</v>
      </c>
      <c r="T4" s="37"/>
      <c r="U4" s="47" t="s">
        <v>248</v>
      </c>
      <c r="V4" s="20" t="s">
        <v>249</v>
      </c>
      <c r="W4" s="20" t="s">
        <v>250</v>
      </c>
      <c r="X4" s="20" t="s">
        <v>251</v>
      </c>
    </row>
    <row r="5" customFormat="false" ht="15" hidden="false" customHeight="false" outlineLevel="0" collapsed="false">
      <c r="A5" s="28" t="s">
        <v>252</v>
      </c>
      <c r="B5" s="28" t="s">
        <v>97</v>
      </c>
      <c r="C5" s="28" t="s">
        <v>253</v>
      </c>
      <c r="D5" s="29" t="n">
        <v>46303</v>
      </c>
      <c r="E5" s="37" t="n">
        <v>1</v>
      </c>
      <c r="F5" s="28" t="s">
        <v>141</v>
      </c>
      <c r="G5" s="28" t="s">
        <v>67</v>
      </c>
      <c r="H5" s="38" t="s">
        <v>77</v>
      </c>
      <c r="I5" s="39" t="n">
        <v>70</v>
      </c>
      <c r="J5" s="39" t="n">
        <v>120</v>
      </c>
      <c r="K5" s="39" t="n">
        <v>260</v>
      </c>
      <c r="L5" s="15" t="n">
        <f aca="false">IF(H5="econômico",I5,IF(H5="upgrade",K5,J5))</f>
        <v>120</v>
      </c>
      <c r="M5" s="6" t="n">
        <f aca="false">E5*IF(OR(F5="pessoa",F5="pessoa-noite"),P_paris_outubro_2026!$B$8,1)</f>
        <v>1</v>
      </c>
      <c r="N5" s="40" t="n">
        <f aca="false">IFERROR(INDEX(P_paris_outubro_2026!$B$22:$B$22,MATCH(G5,P_paris_outubro_2026!$A$22:$A$22,0)),1)*(1+IF(G5=P_paris_outubro_2026!$B$9,0,P_paris_outubro_2026!$B$14))</f>
        <v>1</v>
      </c>
      <c r="O5" s="10" t="n">
        <f aca="false">M5*I5*N5</f>
        <v>70</v>
      </c>
      <c r="P5" s="10" t="n">
        <f aca="false">M5*J5*N5</f>
        <v>120</v>
      </c>
      <c r="Q5" s="10" t="n">
        <f aca="false">M5*K5*N5</f>
        <v>260</v>
      </c>
      <c r="R5" s="15" t="n">
        <f aca="false">M5*L5*N5</f>
        <v>120</v>
      </c>
      <c r="S5" s="21" t="str">
        <f aca="false">IFERROR(INDEX(P_paris_outubro_2026!$D$27:$D$33,MATCH(B5,P_paris_outubro_2026!$A$27:$A$33,0)),"não")</f>
        <v>não</v>
      </c>
      <c r="T5" s="37"/>
      <c r="U5" s="47" t="s">
        <v>254</v>
      </c>
      <c r="V5" s="20" t="s">
        <v>255</v>
      </c>
      <c r="W5" s="20" t="s">
        <v>256</v>
      </c>
      <c r="X5" s="20" t="s">
        <v>257</v>
      </c>
    </row>
    <row r="6" customFormat="false" ht="15" hidden="false" customHeight="false" outlineLevel="0" collapsed="false">
      <c r="A6" s="28" t="s">
        <v>258</v>
      </c>
      <c r="B6" s="28" t="s">
        <v>99</v>
      </c>
      <c r="C6" s="28" t="s">
        <v>259</v>
      </c>
      <c r="D6" s="29" t="n">
        <v>46302</v>
      </c>
      <c r="E6" s="37" t="n">
        <v>3</v>
      </c>
      <c r="F6" s="28" t="s">
        <v>148</v>
      </c>
      <c r="G6" s="28" t="s">
        <v>67</v>
      </c>
      <c r="H6" s="38" t="s">
        <v>77</v>
      </c>
      <c r="I6" s="10" t="n">
        <f aca="false">J6*IFERROR(INDEX(P_paris_outubro_2026!$C$27:$C$33,MATCH(B6,P_paris_outubro_2026!$A$27:$A$33,0)),1)</f>
        <v>3.25</v>
      </c>
      <c r="J6" s="39" t="n">
        <v>3.25</v>
      </c>
      <c r="K6" s="10" t="n">
        <f aca="false">J6</f>
        <v>3.25</v>
      </c>
      <c r="L6" s="15" t="n">
        <f aca="false">IF(H6="econômico",I6,IF(H6="upgrade",K6,J6))</f>
        <v>3.25</v>
      </c>
      <c r="M6" s="6" t="n">
        <f aca="false">E6*IF(OR(F6="pessoa",F6="pessoa-noite"),P_paris_outubro_2026!$B$8,1)</f>
        <v>6</v>
      </c>
      <c r="N6" s="40" t="n">
        <f aca="false">IFERROR(INDEX(P_paris_outubro_2026!$B$22:$B$22,MATCH(G6,P_paris_outubro_2026!$A$22:$A$22,0)),1)*(1+IF(G6=P_paris_outubro_2026!$B$9,0,P_paris_outubro_2026!$B$14))</f>
        <v>1</v>
      </c>
      <c r="O6" s="10" t="n">
        <f aca="false">M6*I6*N6</f>
        <v>19.5</v>
      </c>
      <c r="P6" s="10" t="n">
        <f aca="false">M6*J6*N6</f>
        <v>19.5</v>
      </c>
      <c r="Q6" s="10" t="n">
        <f aca="false">M6*K6*N6</f>
        <v>19.5</v>
      </c>
      <c r="R6" s="15" t="n">
        <f aca="false">M6*L6*N6</f>
        <v>19.5</v>
      </c>
      <c r="S6" s="21" t="str">
        <f aca="false">IFERROR(INDEX(P_paris_outubro_2026!$D$27:$D$33,MATCH(B6,P_paris_outubro_2026!$A$27:$A$33,0)),"não")</f>
        <v>não</v>
      </c>
      <c r="T6" s="37"/>
      <c r="V6" s="20" t="s">
        <v>134</v>
      </c>
      <c r="W6" s="20" t="s">
        <v>135</v>
      </c>
      <c r="X6" s="20" t="s">
        <v>149</v>
      </c>
    </row>
    <row r="7" customFormat="false" ht="15" hidden="false" customHeight="false" outlineLevel="0" collapsed="false">
      <c r="A7" s="28" t="s">
        <v>260</v>
      </c>
      <c r="B7" s="28" t="s">
        <v>99</v>
      </c>
      <c r="C7" s="28" t="s">
        <v>261</v>
      </c>
      <c r="D7" s="29" t="n">
        <v>46303</v>
      </c>
      <c r="E7" s="37" t="n">
        <v>1</v>
      </c>
      <c r="F7" s="28" t="s">
        <v>148</v>
      </c>
      <c r="G7" s="28" t="s">
        <v>67</v>
      </c>
      <c r="H7" s="38" t="s">
        <v>77</v>
      </c>
      <c r="I7" s="10" t="n">
        <f aca="false">J7*IFERROR(INDEX(P_paris_outubro_2026!$C$27:$C$33,MATCH(B7,P_paris_outubro_2026!$A$27:$A$33,0)),1)</f>
        <v>1.5</v>
      </c>
      <c r="J7" s="39" t="n">
        <v>1.5</v>
      </c>
      <c r="K7" s="10" t="n">
        <f aca="false">J7</f>
        <v>1.5</v>
      </c>
      <c r="L7" s="15" t="n">
        <f aca="false">IF(H7="econômico",I7,IF(H7="upgrade",K7,J7))</f>
        <v>1.5</v>
      </c>
      <c r="M7" s="6" t="n">
        <f aca="false">E7*IF(OR(F7="pessoa",F7="pessoa-noite"),P_paris_outubro_2026!$B$8,1)</f>
        <v>2</v>
      </c>
      <c r="N7" s="40" t="n">
        <f aca="false">IFERROR(INDEX(P_paris_outubro_2026!$B$22:$B$22,MATCH(G7,P_paris_outubro_2026!$A$22:$A$22,0)),1)*(1+IF(G7=P_paris_outubro_2026!$B$9,0,P_paris_outubro_2026!$B$14))</f>
        <v>1</v>
      </c>
      <c r="O7" s="10" t="n">
        <f aca="false">M7*I7*N7</f>
        <v>3</v>
      </c>
      <c r="P7" s="10" t="n">
        <f aca="false">M7*J7*N7</f>
        <v>3</v>
      </c>
      <c r="Q7" s="10" t="n">
        <f aca="false">M7*K7*N7</f>
        <v>3</v>
      </c>
      <c r="R7" s="15" t="n">
        <f aca="false">M7*L7*N7</f>
        <v>3</v>
      </c>
      <c r="S7" s="21" t="str">
        <f aca="false">IFERROR(INDEX(P_paris_outubro_2026!$D$27:$D$33,MATCH(B7,P_paris_outubro_2026!$A$27:$A$33,0)),"não")</f>
        <v>não</v>
      </c>
      <c r="T7" s="37"/>
      <c r="V7" s="20" t="s">
        <v>134</v>
      </c>
      <c r="W7" s="20" t="s">
        <v>135</v>
      </c>
      <c r="X7" s="20" t="s">
        <v>149</v>
      </c>
    </row>
    <row r="8" customFormat="false" ht="15" hidden="false" customHeight="false" outlineLevel="0" collapsed="false">
      <c r="A8" s="41" t="s">
        <v>262</v>
      </c>
      <c r="B8" s="41" t="s">
        <v>99</v>
      </c>
      <c r="C8" s="41" t="s">
        <v>263</v>
      </c>
      <c r="D8" s="42"/>
      <c r="E8" s="43" t="n">
        <v>1</v>
      </c>
      <c r="F8" s="41" t="s">
        <v>70</v>
      </c>
      <c r="G8" s="41" t="s">
        <v>67</v>
      </c>
      <c r="H8" s="44" t="s">
        <v>77</v>
      </c>
      <c r="I8" s="45" t="n">
        <f aca="false">J8*IFERROR(INDEX(P_paris_outubro_2026!$C$27:$C$33,MATCH(B8,P_paris_outubro_2026!$A$27:$A$33,0)),1)</f>
        <v>0.5</v>
      </c>
      <c r="J8" s="46" t="n">
        <v>0.5</v>
      </c>
      <c r="K8" s="45" t="n">
        <f aca="false">J8</f>
        <v>0.5</v>
      </c>
      <c r="L8" s="15" t="n">
        <f aca="false">IF(H8="econômico",I8,IF(H8="upgrade",K8,J8))</f>
        <v>0.5</v>
      </c>
      <c r="M8" s="6" t="n">
        <f aca="false">E8*IF(OR(F8="pessoa",F8="pessoa-noite"),P_paris_outubro_2026!$B$8,1)</f>
        <v>1</v>
      </c>
      <c r="N8" s="40" t="n">
        <f aca="false">IFERROR(INDEX(P_paris_outubro_2026!$B$22:$B$22,MATCH(G8,P_paris_outubro_2026!$A$22:$A$22,0)),1)*(1+IF(G8=P_paris_outubro_2026!$B$9,0,P_paris_outubro_2026!$B$14))</f>
        <v>1</v>
      </c>
      <c r="O8" s="10" t="n">
        <f aca="false">M8*I8*N8</f>
        <v>0.5</v>
      </c>
      <c r="P8" s="10" t="n">
        <f aca="false">M8*J8*N8</f>
        <v>0.5</v>
      </c>
      <c r="Q8" s="10" t="n">
        <f aca="false">M8*K8*N8</f>
        <v>0.5</v>
      </c>
      <c r="R8" s="15" t="n">
        <f aca="false">M8*L8*N8</f>
        <v>0.5</v>
      </c>
      <c r="S8" s="21" t="str">
        <f aca="false">IFERROR(INDEX(P_paris_outubro_2026!$D$27:$D$33,MATCH(B8,P_paris_outubro_2026!$A$27:$A$33,0)),"não")</f>
        <v>não</v>
      </c>
      <c r="T8" s="37"/>
      <c r="V8" s="20"/>
      <c r="W8" s="20"/>
      <c r="X8" s="20" t="s">
        <v>236</v>
      </c>
    </row>
    <row r="9" customFormat="false" ht="15" hidden="false" customHeight="false" outlineLevel="0" collapsed="false">
      <c r="A9" s="28" t="s">
        <v>264</v>
      </c>
      <c r="B9" s="28" t="s">
        <v>101</v>
      </c>
      <c r="C9" s="28" t="s">
        <v>265</v>
      </c>
      <c r="D9" s="29" t="n">
        <v>46302</v>
      </c>
      <c r="E9" s="37" t="n">
        <v>1</v>
      </c>
      <c r="F9" s="28" t="s">
        <v>133</v>
      </c>
      <c r="G9" s="28" t="s">
        <v>67</v>
      </c>
      <c r="H9" s="38" t="s">
        <v>77</v>
      </c>
      <c r="I9" s="39" t="n">
        <v>5.4</v>
      </c>
      <c r="J9" s="39" t="n">
        <v>9</v>
      </c>
      <c r="K9" s="39" t="n">
        <v>16.2</v>
      </c>
      <c r="L9" s="15" t="n">
        <f aca="false">IF(H9="econômico",I9,IF(H9="upgrade",K9,J9))</f>
        <v>9</v>
      </c>
      <c r="M9" s="6" t="n">
        <f aca="false">E9*IF(OR(F9="pessoa",F9="pessoa-noite"),P_paris_outubro_2026!$B$8,1)</f>
        <v>2</v>
      </c>
      <c r="N9" s="40" t="n">
        <f aca="false">IFERROR(INDEX(P_paris_outubro_2026!$B$22:$B$22,MATCH(G9,P_paris_outubro_2026!$A$22:$A$22,0)),1)*(1+IF(G9=P_paris_outubro_2026!$B$9,0,P_paris_outubro_2026!$B$14))</f>
        <v>1</v>
      </c>
      <c r="O9" s="10" t="n">
        <f aca="false">M9*I9*N9</f>
        <v>10.8</v>
      </c>
      <c r="P9" s="10" t="n">
        <f aca="false">M9*J9*N9</f>
        <v>18</v>
      </c>
      <c r="Q9" s="10" t="n">
        <f aca="false">M9*K9*N9</f>
        <v>32.4</v>
      </c>
      <c r="R9" s="15" t="n">
        <f aca="false">M9*L9*N9</f>
        <v>18</v>
      </c>
      <c r="S9" s="21" t="str">
        <f aca="false">IFERROR(INDEX(P_paris_outubro_2026!$D$27:$D$33,MATCH(B9,P_paris_outubro_2026!$A$27:$A$33,0)),"não")</f>
        <v>sim</v>
      </c>
      <c r="T9" s="37" t="n">
        <v>1</v>
      </c>
      <c r="V9" s="20" t="s">
        <v>266</v>
      </c>
      <c r="W9" s="20" t="s">
        <v>267</v>
      </c>
      <c r="X9" s="20"/>
    </row>
    <row r="10" customFormat="false" ht="15" hidden="false" customHeight="false" outlineLevel="0" collapsed="false">
      <c r="A10" s="28" t="s">
        <v>268</v>
      </c>
      <c r="B10" s="28" t="s">
        <v>101</v>
      </c>
      <c r="C10" s="28" t="s">
        <v>269</v>
      </c>
      <c r="D10" s="29" t="n">
        <v>46302</v>
      </c>
      <c r="E10" s="37" t="n">
        <v>1</v>
      </c>
      <c r="F10" s="28" t="s">
        <v>133</v>
      </c>
      <c r="G10" s="28" t="s">
        <v>67</v>
      </c>
      <c r="H10" s="38" t="s">
        <v>77</v>
      </c>
      <c r="I10" s="39" t="n">
        <v>9</v>
      </c>
      <c r="J10" s="39" t="n">
        <v>19</v>
      </c>
      <c r="K10" s="39" t="n">
        <v>35</v>
      </c>
      <c r="L10" s="15" t="n">
        <f aca="false">IF(H10="econômico",I10,IF(H10="upgrade",K10,J10))</f>
        <v>19</v>
      </c>
      <c r="M10" s="6" t="n">
        <f aca="false">E10*IF(OR(F10="pessoa",F10="pessoa-noite"),P_paris_outubro_2026!$B$8,1)</f>
        <v>2</v>
      </c>
      <c r="N10" s="40" t="n">
        <f aca="false">IFERROR(INDEX(P_paris_outubro_2026!$B$22:$B$22,MATCH(G10,P_paris_outubro_2026!$A$22:$A$22,0)),1)*(1+IF(G10=P_paris_outubro_2026!$B$9,0,P_paris_outubro_2026!$B$14))</f>
        <v>1</v>
      </c>
      <c r="O10" s="10" t="n">
        <f aca="false">M10*I10*N10</f>
        <v>18</v>
      </c>
      <c r="P10" s="10" t="n">
        <f aca="false">M10*J10*N10</f>
        <v>38</v>
      </c>
      <c r="Q10" s="10" t="n">
        <f aca="false">M10*K10*N10</f>
        <v>70</v>
      </c>
      <c r="R10" s="15" t="n">
        <f aca="false">M10*L10*N10</f>
        <v>38</v>
      </c>
      <c r="S10" s="21" t="str">
        <f aca="false">IFERROR(INDEX(P_paris_outubro_2026!$D$27:$D$33,MATCH(B10,P_paris_outubro_2026!$A$27:$A$33,0)),"não")</f>
        <v>sim</v>
      </c>
      <c r="T10" s="37" t="n">
        <v>1</v>
      </c>
      <c r="U10" s="47" t="s">
        <v>270</v>
      </c>
      <c r="V10" s="20" t="s">
        <v>271</v>
      </c>
      <c r="W10" s="20" t="s">
        <v>272</v>
      </c>
      <c r="X10" s="20" t="s">
        <v>273</v>
      </c>
    </row>
    <row r="11" customFormat="false" ht="15" hidden="false" customHeight="false" outlineLevel="0" collapsed="false">
      <c r="A11" s="28" t="s">
        <v>274</v>
      </c>
      <c r="B11" s="28" t="s">
        <v>101</v>
      </c>
      <c r="C11" s="28" t="s">
        <v>275</v>
      </c>
      <c r="D11" s="29" t="n">
        <v>46303</v>
      </c>
      <c r="E11" s="37" t="n">
        <v>1</v>
      </c>
      <c r="F11" s="28" t="s">
        <v>133</v>
      </c>
      <c r="G11" s="28" t="s">
        <v>67</v>
      </c>
      <c r="H11" s="38" t="s">
        <v>77</v>
      </c>
      <c r="I11" s="39" t="n">
        <v>15</v>
      </c>
      <c r="J11" s="39" t="n">
        <v>25</v>
      </c>
      <c r="K11" s="39" t="n">
        <v>45</v>
      </c>
      <c r="L11" s="15" t="n">
        <f aca="false">IF(H11="econômico",I11,IF(H11="upgrade",K11,J11))</f>
        <v>25</v>
      </c>
      <c r="M11" s="6" t="n">
        <f aca="false">E11*IF(OR(F11="pessoa",F11="pessoa-noite"),P_paris_outubro_2026!$B$8,1)</f>
        <v>2</v>
      </c>
      <c r="N11" s="40" t="n">
        <f aca="false">IFERROR(INDEX(P_paris_outubro_2026!$B$22:$B$22,MATCH(G11,P_paris_outubro_2026!$A$22:$A$22,0)),1)*(1+IF(G11=P_paris_outubro_2026!$B$9,0,P_paris_outubro_2026!$B$14))</f>
        <v>1</v>
      </c>
      <c r="O11" s="10" t="n">
        <f aca="false">M11*I11*N11</f>
        <v>30</v>
      </c>
      <c r="P11" s="10" t="n">
        <f aca="false">M11*J11*N11</f>
        <v>50</v>
      </c>
      <c r="Q11" s="10" t="n">
        <f aca="false">M11*K11*N11</f>
        <v>90</v>
      </c>
      <c r="R11" s="15" t="n">
        <f aca="false">M11*L11*N11</f>
        <v>50</v>
      </c>
      <c r="S11" s="21" t="str">
        <f aca="false">IFERROR(INDEX(P_paris_outubro_2026!$D$27:$D$33,MATCH(B11,P_paris_outubro_2026!$A$27:$A$33,0)),"não")</f>
        <v>sim</v>
      </c>
      <c r="T11" s="37" t="n">
        <v>2</v>
      </c>
      <c r="V11" s="20" t="s">
        <v>266</v>
      </c>
      <c r="W11" s="20" t="s">
        <v>267</v>
      </c>
      <c r="X11" s="20"/>
    </row>
    <row r="12" customFormat="false" ht="15" hidden="false" customHeight="false" outlineLevel="0" collapsed="false">
      <c r="A12" s="28" t="s">
        <v>276</v>
      </c>
      <c r="B12" s="28" t="s">
        <v>101</v>
      </c>
      <c r="C12" s="28" t="s">
        <v>277</v>
      </c>
      <c r="D12" s="29" t="n">
        <v>46304</v>
      </c>
      <c r="E12" s="37" t="n">
        <v>1</v>
      </c>
      <c r="F12" s="28" t="s">
        <v>133</v>
      </c>
      <c r="G12" s="28" t="s">
        <v>67</v>
      </c>
      <c r="H12" s="38" t="s">
        <v>77</v>
      </c>
      <c r="I12" s="39" t="n">
        <v>10.8</v>
      </c>
      <c r="J12" s="39" t="n">
        <v>18</v>
      </c>
      <c r="K12" s="39" t="n">
        <v>32.4</v>
      </c>
      <c r="L12" s="15" t="n">
        <f aca="false">IF(H12="econômico",I12,IF(H12="upgrade",K12,J12))</f>
        <v>18</v>
      </c>
      <c r="M12" s="6" t="n">
        <f aca="false">E12*IF(OR(F12="pessoa",F12="pessoa-noite"),P_paris_outubro_2026!$B$8,1)</f>
        <v>2</v>
      </c>
      <c r="N12" s="40" t="n">
        <f aca="false">IFERROR(INDEX(P_paris_outubro_2026!$B$22:$B$22,MATCH(G12,P_paris_outubro_2026!$A$22:$A$22,0)),1)*(1+IF(G12=P_paris_outubro_2026!$B$9,0,P_paris_outubro_2026!$B$14))</f>
        <v>1</v>
      </c>
      <c r="O12" s="10" t="n">
        <f aca="false">M12*I12*N12</f>
        <v>21.6</v>
      </c>
      <c r="P12" s="10" t="n">
        <f aca="false">M12*J12*N12</f>
        <v>36</v>
      </c>
      <c r="Q12" s="10" t="n">
        <f aca="false">M12*K12*N12</f>
        <v>64.8</v>
      </c>
      <c r="R12" s="15" t="n">
        <f aca="false">M12*L12*N12</f>
        <v>36</v>
      </c>
      <c r="S12" s="21" t="str">
        <f aca="false">IFERROR(INDEX(P_paris_outubro_2026!$D$27:$D$33,MATCH(B12,P_paris_outubro_2026!$A$27:$A$33,0)),"não")</f>
        <v>sim</v>
      </c>
      <c r="T12" s="37" t="n">
        <v>3</v>
      </c>
      <c r="V12" s="20" t="s">
        <v>266</v>
      </c>
      <c r="W12" s="20" t="s">
        <v>267</v>
      </c>
      <c r="X12" s="20"/>
    </row>
    <row r="13" customFormat="false" ht="15" hidden="false" customHeight="false" outlineLevel="0" collapsed="false">
      <c r="A13" s="28" t="s">
        <v>278</v>
      </c>
      <c r="B13" s="28" t="s">
        <v>101</v>
      </c>
      <c r="C13" s="28" t="s">
        <v>275</v>
      </c>
      <c r="D13" s="29" t="n">
        <v>46304</v>
      </c>
      <c r="E13" s="37" t="n">
        <v>1</v>
      </c>
      <c r="F13" s="28" t="s">
        <v>133</v>
      </c>
      <c r="G13" s="28" t="s">
        <v>67</v>
      </c>
      <c r="H13" s="38" t="s">
        <v>77</v>
      </c>
      <c r="I13" s="39" t="n">
        <v>15</v>
      </c>
      <c r="J13" s="39" t="n">
        <v>25</v>
      </c>
      <c r="K13" s="39" t="n">
        <v>45</v>
      </c>
      <c r="L13" s="15" t="n">
        <f aca="false">IF(H13="econômico",I13,IF(H13="upgrade",K13,J13))</f>
        <v>25</v>
      </c>
      <c r="M13" s="6" t="n">
        <f aca="false">E13*IF(OR(F13="pessoa",F13="pessoa-noite"),P_paris_outubro_2026!$B$8,1)</f>
        <v>2</v>
      </c>
      <c r="N13" s="40" t="n">
        <f aca="false">IFERROR(INDEX(P_paris_outubro_2026!$B$22:$B$22,MATCH(G13,P_paris_outubro_2026!$A$22:$A$22,0)),1)*(1+IF(G13=P_paris_outubro_2026!$B$9,0,P_paris_outubro_2026!$B$14))</f>
        <v>1</v>
      </c>
      <c r="O13" s="10" t="n">
        <f aca="false">M13*I13*N13</f>
        <v>30</v>
      </c>
      <c r="P13" s="10" t="n">
        <f aca="false">M13*J13*N13</f>
        <v>50</v>
      </c>
      <c r="Q13" s="10" t="n">
        <f aca="false">M13*K13*N13</f>
        <v>90</v>
      </c>
      <c r="R13" s="15" t="n">
        <f aca="false">M13*L13*N13</f>
        <v>50</v>
      </c>
      <c r="S13" s="21" t="str">
        <f aca="false">IFERROR(INDEX(P_paris_outubro_2026!$D$27:$D$33,MATCH(B13,P_paris_outubro_2026!$A$27:$A$33,0)),"não")</f>
        <v>sim</v>
      </c>
      <c r="T13" s="37" t="n">
        <v>3</v>
      </c>
      <c r="V13" s="20" t="s">
        <v>266</v>
      </c>
      <c r="W13" s="20" t="s">
        <v>267</v>
      </c>
      <c r="X13" s="20"/>
    </row>
    <row r="14" customFormat="false" ht="15" hidden="false" customHeight="false" outlineLevel="0" collapsed="false">
      <c r="A14" s="28" t="s">
        <v>279</v>
      </c>
      <c r="B14" s="28" t="s">
        <v>101</v>
      </c>
      <c r="C14" s="28" t="s">
        <v>280</v>
      </c>
      <c r="D14" s="29" t="n">
        <v>46305</v>
      </c>
      <c r="E14" s="37" t="n">
        <v>1</v>
      </c>
      <c r="F14" s="28" t="s">
        <v>133</v>
      </c>
      <c r="G14" s="28" t="s">
        <v>67</v>
      </c>
      <c r="H14" s="38" t="s">
        <v>77</v>
      </c>
      <c r="I14" s="39" t="n">
        <v>13.2</v>
      </c>
      <c r="J14" s="39" t="n">
        <v>22</v>
      </c>
      <c r="K14" s="39" t="n">
        <v>39.6</v>
      </c>
      <c r="L14" s="15" t="n">
        <f aca="false">IF(H14="econômico",I14,IF(H14="upgrade",K14,J14))</f>
        <v>22</v>
      </c>
      <c r="M14" s="6" t="n">
        <f aca="false">E14*IF(OR(F14="pessoa",F14="pessoa-noite"),P_paris_outubro_2026!$B$8,1)</f>
        <v>2</v>
      </c>
      <c r="N14" s="40" t="n">
        <f aca="false">IFERROR(INDEX(P_paris_outubro_2026!$B$22:$B$22,MATCH(G14,P_paris_outubro_2026!$A$22:$A$22,0)),1)*(1+IF(G14=P_paris_outubro_2026!$B$9,0,P_paris_outubro_2026!$B$14))</f>
        <v>1</v>
      </c>
      <c r="O14" s="10" t="n">
        <f aca="false">M14*I14*N14</f>
        <v>26.4</v>
      </c>
      <c r="P14" s="10" t="n">
        <f aca="false">M14*J14*N14</f>
        <v>44</v>
      </c>
      <c r="Q14" s="10" t="n">
        <f aca="false">M14*K14*N14</f>
        <v>79.2</v>
      </c>
      <c r="R14" s="15" t="n">
        <f aca="false">M14*L14*N14</f>
        <v>44</v>
      </c>
      <c r="S14" s="21" t="str">
        <f aca="false">IFERROR(INDEX(P_paris_outubro_2026!$D$27:$D$33,MATCH(B14,P_paris_outubro_2026!$A$27:$A$33,0)),"não")</f>
        <v>sim</v>
      </c>
      <c r="T14" s="37" t="n">
        <v>4</v>
      </c>
      <c r="V14" s="20" t="s">
        <v>266</v>
      </c>
      <c r="W14" s="20" t="s">
        <v>267</v>
      </c>
      <c r="X14" s="20"/>
    </row>
    <row r="15" customFormat="false" ht="15" hidden="false" customHeight="false" outlineLevel="0" collapsed="false">
      <c r="A15" s="28" t="s">
        <v>281</v>
      </c>
      <c r="B15" s="28" t="s">
        <v>101</v>
      </c>
      <c r="C15" s="28" t="s">
        <v>282</v>
      </c>
      <c r="D15" s="29" t="n">
        <v>46305</v>
      </c>
      <c r="E15" s="37" t="n">
        <v>1</v>
      </c>
      <c r="F15" s="28" t="s">
        <v>133</v>
      </c>
      <c r="G15" s="28" t="s">
        <v>67</v>
      </c>
      <c r="H15" s="38" t="s">
        <v>77</v>
      </c>
      <c r="I15" s="39" t="n">
        <v>6</v>
      </c>
      <c r="J15" s="39" t="n">
        <v>10</v>
      </c>
      <c r="K15" s="39" t="n">
        <v>18</v>
      </c>
      <c r="L15" s="15" t="n">
        <f aca="false">IF(H15="econômico",I15,IF(H15="upgrade",K15,J15))</f>
        <v>10</v>
      </c>
      <c r="M15" s="6" t="n">
        <f aca="false">E15*IF(OR(F15="pessoa",F15="pessoa-noite"),P_paris_outubro_2026!$B$8,1)</f>
        <v>2</v>
      </c>
      <c r="N15" s="40" t="n">
        <f aca="false">IFERROR(INDEX(P_paris_outubro_2026!$B$22:$B$22,MATCH(G15,P_paris_outubro_2026!$A$22:$A$22,0)),1)*(1+IF(G15=P_paris_outubro_2026!$B$9,0,P_paris_outubro_2026!$B$14))</f>
        <v>1</v>
      </c>
      <c r="O15" s="10" t="n">
        <f aca="false">M15*I15*N15</f>
        <v>12</v>
      </c>
      <c r="P15" s="10" t="n">
        <f aca="false">M15*J15*N15</f>
        <v>20</v>
      </c>
      <c r="Q15" s="10" t="n">
        <f aca="false">M15*K15*N15</f>
        <v>36</v>
      </c>
      <c r="R15" s="15" t="n">
        <f aca="false">M15*L15*N15</f>
        <v>20</v>
      </c>
      <c r="S15" s="21" t="str">
        <f aca="false">IFERROR(INDEX(P_paris_outubro_2026!$D$27:$D$33,MATCH(B15,P_paris_outubro_2026!$A$27:$A$33,0)),"não")</f>
        <v>sim</v>
      </c>
      <c r="T15" s="37" t="n">
        <v>4</v>
      </c>
      <c r="V15" s="20" t="s">
        <v>266</v>
      </c>
      <c r="W15" s="20" t="s">
        <v>267</v>
      </c>
      <c r="X15" s="20"/>
    </row>
    <row r="16" customFormat="false" ht="15" hidden="false" customHeight="false" outlineLevel="0" collapsed="false">
      <c r="A16" s="28" t="s">
        <v>283</v>
      </c>
      <c r="B16" s="28" t="s">
        <v>101</v>
      </c>
      <c r="C16" s="28" t="s">
        <v>284</v>
      </c>
      <c r="D16" s="29" t="n">
        <v>46306</v>
      </c>
      <c r="E16" s="37" t="n">
        <v>1</v>
      </c>
      <c r="F16" s="28" t="s">
        <v>133</v>
      </c>
      <c r="G16" s="28" t="s">
        <v>67</v>
      </c>
      <c r="H16" s="38" t="s">
        <v>77</v>
      </c>
      <c r="I16" s="39" t="n">
        <v>10</v>
      </c>
      <c r="J16" s="39" t="n">
        <v>15</v>
      </c>
      <c r="K16" s="39" t="n">
        <v>25</v>
      </c>
      <c r="L16" s="15" t="n">
        <f aca="false">IF(H16="econômico",I16,IF(H16="upgrade",K16,J16))</f>
        <v>15</v>
      </c>
      <c r="M16" s="6" t="n">
        <f aca="false">E16*IF(OR(F16="pessoa",F16="pessoa-noite"),P_paris_outubro_2026!$B$8,1)</f>
        <v>2</v>
      </c>
      <c r="N16" s="40" t="n">
        <f aca="false">IFERROR(INDEX(P_paris_outubro_2026!$B$22:$B$22,MATCH(G16,P_paris_outubro_2026!$A$22:$A$22,0)),1)*(1+IF(G16=P_paris_outubro_2026!$B$9,0,P_paris_outubro_2026!$B$14))</f>
        <v>1</v>
      </c>
      <c r="O16" s="10" t="n">
        <f aca="false">M16*I16*N16</f>
        <v>20</v>
      </c>
      <c r="P16" s="10" t="n">
        <f aca="false">M16*J16*N16</f>
        <v>30</v>
      </c>
      <c r="Q16" s="10" t="n">
        <f aca="false">M16*K16*N16</f>
        <v>50</v>
      </c>
      <c r="R16" s="15" t="n">
        <f aca="false">M16*L16*N16</f>
        <v>30</v>
      </c>
      <c r="S16" s="21" t="str">
        <f aca="false">IFERROR(INDEX(P_paris_outubro_2026!$D$27:$D$33,MATCH(B16,P_paris_outubro_2026!$A$27:$A$33,0)),"não")</f>
        <v>sim</v>
      </c>
      <c r="T16" s="37" t="n">
        <v>5</v>
      </c>
      <c r="U16" s="47" t="s">
        <v>285</v>
      </c>
      <c r="V16" s="20" t="s">
        <v>286</v>
      </c>
      <c r="W16" s="20" t="s">
        <v>287</v>
      </c>
      <c r="X16" s="20" t="s">
        <v>288</v>
      </c>
    </row>
    <row r="17" customFormat="false" ht="15" hidden="false" customHeight="false" outlineLevel="0" collapsed="false">
      <c r="A17" s="41" t="s">
        <v>188</v>
      </c>
      <c r="B17" s="41" t="s">
        <v>101</v>
      </c>
      <c r="C17" s="41" t="s">
        <v>289</v>
      </c>
      <c r="D17" s="42"/>
      <c r="E17" s="43" t="n">
        <v>1</v>
      </c>
      <c r="F17" s="41" t="s">
        <v>70</v>
      </c>
      <c r="G17" s="41" t="s">
        <v>67</v>
      </c>
      <c r="H17" s="44" t="s">
        <v>77</v>
      </c>
      <c r="I17" s="45" t="n">
        <f aca="false">J17*IFERROR(INDEX(P_paris_outubro_2026!$C$27:$C$33,MATCH(B17,P_paris_outubro_2026!$A$27:$A$33,0)),1)</f>
        <v>94</v>
      </c>
      <c r="J17" s="46" t="n">
        <v>94</v>
      </c>
      <c r="K17" s="45" t="n">
        <f aca="false">J17</f>
        <v>94</v>
      </c>
      <c r="L17" s="15" t="n">
        <f aca="false">IF(H17="econômico",I17,IF(H17="upgrade",K17,J17))</f>
        <v>94</v>
      </c>
      <c r="M17" s="6" t="n">
        <f aca="false">E17*IF(OR(F17="pessoa",F17="pessoa-noite"),P_paris_outubro_2026!$B$8,1)</f>
        <v>1</v>
      </c>
      <c r="N17" s="40" t="n">
        <f aca="false">IFERROR(INDEX(P_paris_outubro_2026!$B$22:$B$22,MATCH(G17,P_paris_outubro_2026!$A$22:$A$22,0)),1)*(1+IF(G17=P_paris_outubro_2026!$B$9,0,P_paris_outubro_2026!$B$14))</f>
        <v>1</v>
      </c>
      <c r="O17" s="10" t="n">
        <f aca="false">M17*I17*N17</f>
        <v>94</v>
      </c>
      <c r="P17" s="10" t="n">
        <f aca="false">M17*J17*N17</f>
        <v>94</v>
      </c>
      <c r="Q17" s="10" t="n">
        <f aca="false">M17*K17*N17</f>
        <v>94</v>
      </c>
      <c r="R17" s="15" t="n">
        <f aca="false">M17*L17*N17</f>
        <v>94</v>
      </c>
      <c r="S17" s="21" t="str">
        <f aca="false">IFERROR(INDEX(P_paris_outubro_2026!$D$27:$D$33,MATCH(B17,P_paris_outubro_2026!$A$27:$A$33,0)),"não")</f>
        <v>sim</v>
      </c>
      <c r="T17" s="37"/>
      <c r="V17" s="20"/>
      <c r="W17" s="20"/>
      <c r="X17" s="20" t="s">
        <v>237</v>
      </c>
    </row>
    <row r="18" customFormat="false" ht="15" hidden="false" customHeight="false" outlineLevel="0" collapsed="false">
      <c r="A18" s="28" t="s">
        <v>290</v>
      </c>
      <c r="B18" s="28" t="s">
        <v>104</v>
      </c>
      <c r="C18" s="28" t="s">
        <v>291</v>
      </c>
      <c r="D18" s="29"/>
      <c r="E18" s="37" t="n">
        <v>1</v>
      </c>
      <c r="F18" s="28" t="s">
        <v>133</v>
      </c>
      <c r="G18" s="28" t="s">
        <v>67</v>
      </c>
      <c r="H18" s="38" t="s">
        <v>77</v>
      </c>
      <c r="I18" s="39" t="n">
        <v>20</v>
      </c>
      <c r="J18" s="39" t="n">
        <v>31</v>
      </c>
      <c r="K18" s="39" t="n">
        <v>37</v>
      </c>
      <c r="L18" s="15" t="n">
        <f aca="false">IF(H18="econômico",I18,IF(H18="upgrade",K18,J18))</f>
        <v>31</v>
      </c>
      <c r="M18" s="6" t="n">
        <f aca="false">E18*IF(OR(F18="pessoa",F18="pessoa-noite"),P_paris_outubro_2026!$B$8,1)</f>
        <v>2</v>
      </c>
      <c r="N18" s="40" t="n">
        <f aca="false">IFERROR(INDEX(P_paris_outubro_2026!$B$22:$B$22,MATCH(G18,P_paris_outubro_2026!$A$22:$A$22,0)),1)*(1+IF(G18=P_paris_outubro_2026!$B$9,0,P_paris_outubro_2026!$B$14))</f>
        <v>1</v>
      </c>
      <c r="O18" s="10" t="n">
        <f aca="false">M18*I18*N18</f>
        <v>40</v>
      </c>
      <c r="P18" s="10" t="n">
        <f aca="false">M18*J18*N18</f>
        <v>62</v>
      </c>
      <c r="Q18" s="10" t="n">
        <f aca="false">M18*K18*N18</f>
        <v>74</v>
      </c>
      <c r="R18" s="15" t="n">
        <f aca="false">M18*L18*N18</f>
        <v>62</v>
      </c>
      <c r="S18" s="21" t="str">
        <f aca="false">IFERROR(INDEX(P_paris_outubro_2026!$D$27:$D$33,MATCH(B18,P_paris_outubro_2026!$A$27:$A$33,0)),"não")</f>
        <v>não</v>
      </c>
      <c r="T18" s="37"/>
      <c r="U18" s="47" t="s">
        <v>292</v>
      </c>
      <c r="V18" s="20" t="s">
        <v>293</v>
      </c>
      <c r="W18" s="20" t="s">
        <v>294</v>
      </c>
      <c r="X18" s="20" t="s">
        <v>295</v>
      </c>
    </row>
    <row r="19" customFormat="false" ht="15" hidden="false" customHeight="false" outlineLevel="0" collapsed="false">
      <c r="A19" s="28" t="s">
        <v>296</v>
      </c>
      <c r="B19" s="28" t="s">
        <v>104</v>
      </c>
      <c r="C19" s="28" t="s">
        <v>297</v>
      </c>
      <c r="D19" s="29"/>
      <c r="E19" s="37" t="n">
        <v>1</v>
      </c>
      <c r="F19" s="28" t="s">
        <v>133</v>
      </c>
      <c r="G19" s="28" t="s">
        <v>67</v>
      </c>
      <c r="H19" s="38" t="s">
        <v>77</v>
      </c>
      <c r="I19" s="39" t="n">
        <v>28</v>
      </c>
      <c r="J19" s="39" t="n">
        <v>28</v>
      </c>
      <c r="K19" s="39" t="n">
        <v>90</v>
      </c>
      <c r="L19" s="15" t="n">
        <f aca="false">IF(H19="econômico",I19,IF(H19="upgrade",K19,J19))</f>
        <v>28</v>
      </c>
      <c r="M19" s="6" t="n">
        <f aca="false">E19*IF(OR(F19="pessoa",F19="pessoa-noite"),P_paris_outubro_2026!$B$8,1)</f>
        <v>2</v>
      </c>
      <c r="N19" s="40" t="n">
        <f aca="false">IFERROR(INDEX(P_paris_outubro_2026!$B$22:$B$22,MATCH(G19,P_paris_outubro_2026!$A$22:$A$22,0)),1)*(1+IF(G19=P_paris_outubro_2026!$B$9,0,P_paris_outubro_2026!$B$14))</f>
        <v>1</v>
      </c>
      <c r="O19" s="10" t="n">
        <f aca="false">M19*I19*N19</f>
        <v>56</v>
      </c>
      <c r="P19" s="10" t="n">
        <f aca="false">M19*J19*N19</f>
        <v>56</v>
      </c>
      <c r="Q19" s="10" t="n">
        <f aca="false">M19*K19*N19</f>
        <v>180</v>
      </c>
      <c r="R19" s="15" t="n">
        <f aca="false">M19*L19*N19</f>
        <v>56</v>
      </c>
      <c r="S19" s="21" t="str">
        <f aca="false">IFERROR(INDEX(P_paris_outubro_2026!$D$27:$D$33,MATCH(B19,P_paris_outubro_2026!$A$27:$A$33,0)),"não")</f>
        <v>não</v>
      </c>
      <c r="T19" s="37"/>
      <c r="U19" s="47" t="s">
        <v>292</v>
      </c>
      <c r="V19" s="20" t="s">
        <v>298</v>
      </c>
      <c r="W19" s="20" t="s">
        <v>299</v>
      </c>
      <c r="X19" s="20" t="s">
        <v>300</v>
      </c>
    </row>
    <row r="20" customFormat="false" ht="15" hidden="false" customHeight="false" outlineLevel="0" collapsed="false">
      <c r="A20" s="28" t="s">
        <v>301</v>
      </c>
      <c r="B20" s="28" t="s">
        <v>104</v>
      </c>
      <c r="C20" s="28" t="s">
        <v>302</v>
      </c>
      <c r="D20" s="29"/>
      <c r="E20" s="37" t="n">
        <v>1</v>
      </c>
      <c r="F20" s="28" t="s">
        <v>133</v>
      </c>
      <c r="G20" s="28" t="s">
        <v>67</v>
      </c>
      <c r="H20" s="38" t="s">
        <v>77</v>
      </c>
      <c r="I20" s="10" t="n">
        <f aca="false">J20*IFERROR(INDEX(P_paris_outubro_2026!$C$27:$C$33,MATCH(B20,P_paris_outubro_2026!$A$27:$A$33,0)),1)</f>
        <v>4.1405</v>
      </c>
      <c r="J20" s="39" t="n">
        <v>5</v>
      </c>
      <c r="K20" s="10" t="n">
        <f aca="false">J20</f>
        <v>5</v>
      </c>
      <c r="L20" s="15" t="n">
        <f aca="false">IF(H20="econômico",I20,IF(H20="upgrade",K20,J20))</f>
        <v>5</v>
      </c>
      <c r="M20" s="6" t="n">
        <f aca="false">E20*IF(OR(F20="pessoa",F20="pessoa-noite"),P_paris_outubro_2026!$B$8,1)</f>
        <v>2</v>
      </c>
      <c r="N20" s="40" t="n">
        <f aca="false">IFERROR(INDEX(P_paris_outubro_2026!$B$22:$B$22,MATCH(G20,P_paris_outubro_2026!$A$22:$A$22,0)),1)*(1+IF(G20=P_paris_outubro_2026!$B$9,0,P_paris_outubro_2026!$B$14))</f>
        <v>1</v>
      </c>
      <c r="O20" s="10" t="n">
        <f aca="false">M20*I20*N20</f>
        <v>8.281</v>
      </c>
      <c r="P20" s="10" t="n">
        <f aca="false">M20*J20*N20</f>
        <v>10</v>
      </c>
      <c r="Q20" s="10" t="n">
        <f aca="false">M20*K20*N20</f>
        <v>10</v>
      </c>
      <c r="R20" s="15" t="n">
        <f aca="false">M20*L20*N20</f>
        <v>10</v>
      </c>
      <c r="S20" s="21" t="str">
        <f aca="false">IFERROR(INDEX(P_paris_outubro_2026!$D$27:$D$33,MATCH(B20,P_paris_outubro_2026!$A$27:$A$33,0)),"não")</f>
        <v>não</v>
      </c>
      <c r="T20" s="37"/>
      <c r="U20" s="47" t="s">
        <v>292</v>
      </c>
      <c r="V20" s="20" t="s">
        <v>134</v>
      </c>
      <c r="W20" s="20" t="s">
        <v>135</v>
      </c>
      <c r="X20" s="20" t="s">
        <v>303</v>
      </c>
    </row>
    <row r="21" customFormat="false" ht="15" hidden="false" customHeight="false" outlineLevel="0" collapsed="false">
      <c r="A21" s="28" t="s">
        <v>304</v>
      </c>
      <c r="B21" s="28" t="s">
        <v>106</v>
      </c>
      <c r="C21" s="28" t="s">
        <v>305</v>
      </c>
      <c r="D21" s="29" t="n">
        <v>46302</v>
      </c>
      <c r="E21" s="37" t="n">
        <v>1</v>
      </c>
      <c r="F21" s="28" t="s">
        <v>133</v>
      </c>
      <c r="G21" s="28" t="s">
        <v>67</v>
      </c>
      <c r="H21" s="38" t="s">
        <v>77</v>
      </c>
      <c r="I21" s="39" t="n">
        <v>10</v>
      </c>
      <c r="J21" s="39" t="n">
        <v>13</v>
      </c>
      <c r="K21" s="39" t="n">
        <v>20</v>
      </c>
      <c r="L21" s="15" t="n">
        <f aca="false">IF(H21="econômico",I21,IF(H21="upgrade",K21,J21))</f>
        <v>13</v>
      </c>
      <c r="M21" s="6" t="n">
        <f aca="false">E21*IF(OR(F21="pessoa",F21="pessoa-noite"),P_paris_outubro_2026!$B$8,1)</f>
        <v>2</v>
      </c>
      <c r="N21" s="40" t="n">
        <f aca="false">IFERROR(INDEX(P_paris_outubro_2026!$B$22:$B$22,MATCH(G21,P_paris_outubro_2026!$A$22:$A$22,0)),1)*(1+IF(G21=P_paris_outubro_2026!$B$9,0,P_paris_outubro_2026!$B$14))</f>
        <v>1</v>
      </c>
      <c r="O21" s="10" t="n">
        <f aca="false">M21*I21*N21</f>
        <v>20</v>
      </c>
      <c r="P21" s="10" t="n">
        <f aca="false">M21*J21*N21</f>
        <v>26</v>
      </c>
      <c r="Q21" s="10" t="n">
        <f aca="false">M21*K21*N21</f>
        <v>40</v>
      </c>
      <c r="R21" s="15" t="n">
        <f aca="false">M21*L21*N21</f>
        <v>26</v>
      </c>
      <c r="S21" s="21" t="str">
        <f aca="false">IFERROR(INDEX(P_paris_outubro_2026!$D$27:$D$33,MATCH(B21,P_paris_outubro_2026!$A$27:$A$33,0)),"não")</f>
        <v>sim</v>
      </c>
      <c r="T21" s="37" t="n">
        <v>1</v>
      </c>
      <c r="U21" s="47" t="s">
        <v>306</v>
      </c>
      <c r="V21" s="20" t="s">
        <v>307</v>
      </c>
      <c r="W21" s="20" t="s">
        <v>308</v>
      </c>
      <c r="X21" s="20" t="s">
        <v>309</v>
      </c>
    </row>
    <row r="22" customFormat="false" ht="15" hidden="false" customHeight="false" outlineLevel="0" collapsed="false">
      <c r="A22" s="28" t="s">
        <v>310</v>
      </c>
      <c r="B22" s="28" t="s">
        <v>106</v>
      </c>
      <c r="C22" s="28" t="s">
        <v>311</v>
      </c>
      <c r="D22" s="29" t="n">
        <v>46303</v>
      </c>
      <c r="E22" s="37" t="n">
        <v>1</v>
      </c>
      <c r="F22" s="28" t="s">
        <v>133</v>
      </c>
      <c r="G22" s="28" t="s">
        <v>67</v>
      </c>
      <c r="H22" s="38" t="s">
        <v>77</v>
      </c>
      <c r="I22" s="39" t="n">
        <v>142</v>
      </c>
      <c r="J22" s="39" t="n">
        <v>150</v>
      </c>
      <c r="K22" s="39" t="n">
        <v>200</v>
      </c>
      <c r="L22" s="15" t="n">
        <f aca="false">IF(H22="econômico",I22,IF(H22="upgrade",K22,J22))</f>
        <v>150</v>
      </c>
      <c r="M22" s="6" t="n">
        <f aca="false">E22*IF(OR(F22="pessoa",F22="pessoa-noite"),P_paris_outubro_2026!$B$8,1)</f>
        <v>2</v>
      </c>
      <c r="N22" s="40" t="n">
        <f aca="false">IFERROR(INDEX(P_paris_outubro_2026!$B$22:$B$22,MATCH(G22,P_paris_outubro_2026!$A$22:$A$22,0)),1)*(1+IF(G22=P_paris_outubro_2026!$B$9,0,P_paris_outubro_2026!$B$14))</f>
        <v>1</v>
      </c>
      <c r="O22" s="10" t="n">
        <f aca="false">M22*I22*N22</f>
        <v>284</v>
      </c>
      <c r="P22" s="10" t="n">
        <f aca="false">M22*J22*N22</f>
        <v>300</v>
      </c>
      <c r="Q22" s="10" t="n">
        <f aca="false">M22*K22*N22</f>
        <v>400</v>
      </c>
      <c r="R22" s="15" t="n">
        <f aca="false">M22*L22*N22</f>
        <v>300</v>
      </c>
      <c r="S22" s="21" t="str">
        <f aca="false">IFERROR(INDEX(P_paris_outubro_2026!$D$27:$D$33,MATCH(B22,P_paris_outubro_2026!$A$27:$A$33,0)),"não")</f>
        <v>sim</v>
      </c>
      <c r="T22" s="37" t="n">
        <v>2</v>
      </c>
      <c r="U22" s="47" t="s">
        <v>312</v>
      </c>
      <c r="V22" s="20" t="s">
        <v>313</v>
      </c>
      <c r="W22" s="20" t="s">
        <v>314</v>
      </c>
      <c r="X22" s="20" t="s">
        <v>315</v>
      </c>
    </row>
    <row r="23" customFormat="false" ht="15" hidden="false" customHeight="false" outlineLevel="0" collapsed="false">
      <c r="A23" s="28" t="s">
        <v>316</v>
      </c>
      <c r="B23" s="28" t="s">
        <v>106</v>
      </c>
      <c r="C23" s="28" t="s">
        <v>317</v>
      </c>
      <c r="D23" s="29" t="n">
        <v>46305</v>
      </c>
      <c r="E23" s="37" t="n">
        <v>1</v>
      </c>
      <c r="F23" s="28" t="s">
        <v>133</v>
      </c>
      <c r="G23" s="28" t="s">
        <v>67</v>
      </c>
      <c r="H23" s="38" t="s">
        <v>77</v>
      </c>
      <c r="I23" s="39" t="n">
        <v>0</v>
      </c>
      <c r="J23" s="39" t="n">
        <v>14.8</v>
      </c>
      <c r="K23" s="39" t="n">
        <v>36.7</v>
      </c>
      <c r="L23" s="15" t="n">
        <f aca="false">IF(H23="econômico",I23,IF(H23="upgrade",K23,J23))</f>
        <v>14.8</v>
      </c>
      <c r="M23" s="6" t="n">
        <f aca="false">E23*IF(OR(F23="pessoa",F23="pessoa-noite"),P_paris_outubro_2026!$B$8,1)</f>
        <v>2</v>
      </c>
      <c r="N23" s="40" t="n">
        <f aca="false">IFERROR(INDEX(P_paris_outubro_2026!$B$22:$B$22,MATCH(G23,P_paris_outubro_2026!$A$22:$A$22,0)),1)*(1+IF(G23=P_paris_outubro_2026!$B$9,0,P_paris_outubro_2026!$B$14))</f>
        <v>1</v>
      </c>
      <c r="O23" s="10" t="n">
        <f aca="false">M23*I23*N23</f>
        <v>0</v>
      </c>
      <c r="P23" s="10" t="n">
        <f aca="false">M23*J23*N23</f>
        <v>29.6</v>
      </c>
      <c r="Q23" s="10" t="n">
        <f aca="false">M23*K23*N23</f>
        <v>73.4</v>
      </c>
      <c r="R23" s="15" t="n">
        <f aca="false">M23*L23*N23</f>
        <v>29.6</v>
      </c>
      <c r="S23" s="21" t="str">
        <f aca="false">IFERROR(INDEX(P_paris_outubro_2026!$D$27:$D$33,MATCH(B23,P_paris_outubro_2026!$A$27:$A$33,0)),"não")</f>
        <v>sim</v>
      </c>
      <c r="T23" s="37" t="n">
        <v>4</v>
      </c>
      <c r="U23" s="47" t="s">
        <v>318</v>
      </c>
      <c r="V23" s="20" t="s">
        <v>319</v>
      </c>
      <c r="W23" s="20" t="s">
        <v>320</v>
      </c>
      <c r="X23" s="20" t="s">
        <v>321</v>
      </c>
    </row>
    <row r="24" customFormat="false" ht="15" hidden="false" customHeight="false" outlineLevel="0" collapsed="false">
      <c r="A24" s="28" t="s">
        <v>322</v>
      </c>
      <c r="B24" s="28" t="s">
        <v>106</v>
      </c>
      <c r="C24" s="28" t="s">
        <v>323</v>
      </c>
      <c r="D24" s="29" t="n">
        <v>46305</v>
      </c>
      <c r="E24" s="37" t="n">
        <v>1</v>
      </c>
      <c r="F24" s="28" t="s">
        <v>133</v>
      </c>
      <c r="G24" s="28" t="s">
        <v>67</v>
      </c>
      <c r="H24" s="38" t="s">
        <v>77</v>
      </c>
      <c r="I24" s="39" t="n">
        <v>22</v>
      </c>
      <c r="J24" s="39" t="n">
        <v>22</v>
      </c>
      <c r="K24" s="39" t="n">
        <v>45</v>
      </c>
      <c r="L24" s="15" t="n">
        <f aca="false">IF(H24="econômico",I24,IF(H24="upgrade",K24,J24))</f>
        <v>22</v>
      </c>
      <c r="M24" s="6" t="n">
        <f aca="false">E24*IF(OR(F24="pessoa",F24="pessoa-noite"),P_paris_outubro_2026!$B$8,1)</f>
        <v>2</v>
      </c>
      <c r="N24" s="40" t="n">
        <f aca="false">IFERROR(INDEX(P_paris_outubro_2026!$B$22:$B$22,MATCH(G24,P_paris_outubro_2026!$A$22:$A$22,0)),1)*(1+IF(G24=P_paris_outubro_2026!$B$9,0,P_paris_outubro_2026!$B$14))</f>
        <v>1</v>
      </c>
      <c r="O24" s="10" t="n">
        <f aca="false">M24*I24*N24</f>
        <v>44</v>
      </c>
      <c r="P24" s="10" t="n">
        <f aca="false">M24*J24*N24</f>
        <v>44</v>
      </c>
      <c r="Q24" s="10" t="n">
        <f aca="false">M24*K24*N24</f>
        <v>90</v>
      </c>
      <c r="R24" s="15" t="n">
        <f aca="false">M24*L24*N24</f>
        <v>44</v>
      </c>
      <c r="S24" s="21" t="str">
        <f aca="false">IFERROR(INDEX(P_paris_outubro_2026!$D$27:$D$33,MATCH(B24,P_paris_outubro_2026!$A$27:$A$33,0)),"não")</f>
        <v>sim</v>
      </c>
      <c r="T24" s="37" t="n">
        <v>4</v>
      </c>
      <c r="U24" s="47" t="s">
        <v>324</v>
      </c>
      <c r="V24" s="20" t="s">
        <v>325</v>
      </c>
      <c r="W24" s="20" t="s">
        <v>326</v>
      </c>
      <c r="X24" s="20" t="s">
        <v>327</v>
      </c>
    </row>
    <row r="25" customFormat="false" ht="15" hidden="false" customHeight="false" outlineLevel="0" collapsed="false">
      <c r="A25" s="28" t="s">
        <v>328</v>
      </c>
      <c r="B25" s="28" t="s">
        <v>106</v>
      </c>
      <c r="C25" s="28" t="s">
        <v>329</v>
      </c>
      <c r="D25" s="29" t="n">
        <v>46305</v>
      </c>
      <c r="E25" s="37" t="n">
        <v>1</v>
      </c>
      <c r="F25" s="28" t="s">
        <v>133</v>
      </c>
      <c r="G25" s="28" t="s">
        <v>67</v>
      </c>
      <c r="H25" s="38" t="s">
        <v>77</v>
      </c>
      <c r="I25" s="39" t="n">
        <v>12.5</v>
      </c>
      <c r="J25" s="39" t="n">
        <v>12.5</v>
      </c>
      <c r="K25" s="39" t="n">
        <v>18</v>
      </c>
      <c r="L25" s="15" t="n">
        <f aca="false">IF(H25="econômico",I25,IF(H25="upgrade",K25,J25))</f>
        <v>12.5</v>
      </c>
      <c r="M25" s="6" t="n">
        <f aca="false">E25*IF(OR(F25="pessoa",F25="pessoa-noite"),P_paris_outubro_2026!$B$8,1)</f>
        <v>2</v>
      </c>
      <c r="N25" s="40" t="n">
        <f aca="false">IFERROR(INDEX(P_paris_outubro_2026!$B$22:$B$22,MATCH(G25,P_paris_outubro_2026!$A$22:$A$22,0)),1)*(1+IF(G25=P_paris_outubro_2026!$B$9,0,P_paris_outubro_2026!$B$14))</f>
        <v>1</v>
      </c>
      <c r="O25" s="10" t="n">
        <f aca="false">M25*I25*N25</f>
        <v>25</v>
      </c>
      <c r="P25" s="10" t="n">
        <f aca="false">M25*J25*N25</f>
        <v>25</v>
      </c>
      <c r="Q25" s="10" t="n">
        <f aca="false">M25*K25*N25</f>
        <v>36</v>
      </c>
      <c r="R25" s="15" t="n">
        <f aca="false">M25*L25*N25</f>
        <v>25</v>
      </c>
      <c r="S25" s="21" t="str">
        <f aca="false">IFERROR(INDEX(P_paris_outubro_2026!$D$27:$D$33,MATCH(B25,P_paris_outubro_2026!$A$27:$A$33,0)),"não")</f>
        <v>sim</v>
      </c>
      <c r="T25" s="37" t="n">
        <v>4</v>
      </c>
      <c r="U25" s="47" t="s">
        <v>330</v>
      </c>
      <c r="V25" s="20" t="s">
        <v>298</v>
      </c>
      <c r="W25" s="20" t="s">
        <v>331</v>
      </c>
      <c r="X25" s="20" t="s">
        <v>332</v>
      </c>
    </row>
    <row r="26" customFormat="false" ht="15" hidden="false" customHeight="false" outlineLevel="0" collapsed="false">
      <c r="A26" s="28" t="s">
        <v>333</v>
      </c>
      <c r="B26" s="28" t="s">
        <v>106</v>
      </c>
      <c r="C26" s="28" t="s">
        <v>334</v>
      </c>
      <c r="D26" s="29" t="n">
        <v>46306</v>
      </c>
      <c r="E26" s="37" t="n">
        <v>1</v>
      </c>
      <c r="F26" s="28" t="s">
        <v>133</v>
      </c>
      <c r="G26" s="28" t="s">
        <v>67</v>
      </c>
      <c r="H26" s="38" t="s">
        <v>77</v>
      </c>
      <c r="I26" s="39" t="n">
        <v>16</v>
      </c>
      <c r="J26" s="39" t="n">
        <v>16</v>
      </c>
      <c r="K26" s="39" t="n">
        <v>22</v>
      </c>
      <c r="L26" s="15" t="n">
        <f aca="false">IF(H26="econômico",I26,IF(H26="upgrade",K26,J26))</f>
        <v>16</v>
      </c>
      <c r="M26" s="6" t="n">
        <f aca="false">E26*IF(OR(F26="pessoa",F26="pessoa-noite"),P_paris_outubro_2026!$B$8,1)</f>
        <v>2</v>
      </c>
      <c r="N26" s="40" t="n">
        <f aca="false">IFERROR(INDEX(P_paris_outubro_2026!$B$22:$B$22,MATCH(G26,P_paris_outubro_2026!$A$22:$A$22,0)),1)*(1+IF(G26=P_paris_outubro_2026!$B$9,0,P_paris_outubro_2026!$B$14))</f>
        <v>1</v>
      </c>
      <c r="O26" s="10" t="n">
        <f aca="false">M26*I26*N26</f>
        <v>32</v>
      </c>
      <c r="P26" s="10" t="n">
        <f aca="false">M26*J26*N26</f>
        <v>32</v>
      </c>
      <c r="Q26" s="10" t="n">
        <f aca="false">M26*K26*N26</f>
        <v>44</v>
      </c>
      <c r="R26" s="15" t="n">
        <f aca="false">M26*L26*N26</f>
        <v>32</v>
      </c>
      <c r="S26" s="21" t="str">
        <f aca="false">IFERROR(INDEX(P_paris_outubro_2026!$D$27:$D$33,MATCH(B26,P_paris_outubro_2026!$A$27:$A$33,0)),"não")</f>
        <v>sim</v>
      </c>
      <c r="T26" s="37" t="n">
        <v>5</v>
      </c>
      <c r="U26" s="47" t="s">
        <v>335</v>
      </c>
      <c r="V26" s="20" t="s">
        <v>336</v>
      </c>
      <c r="W26" s="20" t="s">
        <v>331</v>
      </c>
      <c r="X26" s="20" t="s">
        <v>337</v>
      </c>
    </row>
    <row r="27" customFormat="false" ht="15" hidden="false" customHeight="false" outlineLevel="0" collapsed="false">
      <c r="A27" s="41" t="s">
        <v>338</v>
      </c>
      <c r="B27" s="41" t="s">
        <v>106</v>
      </c>
      <c r="C27" s="41" t="s">
        <v>339</v>
      </c>
      <c r="D27" s="42"/>
      <c r="E27" s="43" t="n">
        <v>1</v>
      </c>
      <c r="F27" s="41" t="s">
        <v>70</v>
      </c>
      <c r="G27" s="41" t="s">
        <v>67</v>
      </c>
      <c r="H27" s="44" t="s">
        <v>77</v>
      </c>
      <c r="I27" s="45" t="n">
        <f aca="false">J27*IFERROR(INDEX(P_paris_outubro_2026!$C$27:$C$33,MATCH(B27,P_paris_outubro_2026!$A$27:$A$33,0)),1)</f>
        <v>8.4</v>
      </c>
      <c r="J27" s="46" t="n">
        <v>8.4</v>
      </c>
      <c r="K27" s="45" t="n">
        <f aca="false">J27</f>
        <v>8.4</v>
      </c>
      <c r="L27" s="15" t="n">
        <f aca="false">IF(H27="econômico",I27,IF(H27="upgrade",K27,J27))</f>
        <v>8.4</v>
      </c>
      <c r="M27" s="6" t="n">
        <f aca="false">E27*IF(OR(F27="pessoa",F27="pessoa-noite"),P_paris_outubro_2026!$B$8,1)</f>
        <v>1</v>
      </c>
      <c r="N27" s="40" t="n">
        <f aca="false">IFERROR(INDEX(P_paris_outubro_2026!$B$22:$B$22,MATCH(G27,P_paris_outubro_2026!$A$22:$A$22,0)),1)*(1+IF(G27=P_paris_outubro_2026!$B$9,0,P_paris_outubro_2026!$B$14))</f>
        <v>1</v>
      </c>
      <c r="O27" s="10" t="n">
        <f aca="false">M27*I27*N27</f>
        <v>8.4</v>
      </c>
      <c r="P27" s="10" t="n">
        <f aca="false">M27*J27*N27</f>
        <v>8.4</v>
      </c>
      <c r="Q27" s="10" t="n">
        <f aca="false">M27*K27*N27</f>
        <v>8.4</v>
      </c>
      <c r="R27" s="15" t="n">
        <f aca="false">M27*L27*N27</f>
        <v>8.4</v>
      </c>
      <c r="S27" s="21" t="str">
        <f aca="false">IFERROR(INDEX(P_paris_outubro_2026!$D$27:$D$33,MATCH(B27,P_paris_outubro_2026!$A$27:$A$33,0)),"não")</f>
        <v>sim</v>
      </c>
      <c r="T27" s="37"/>
      <c r="V27" s="20"/>
      <c r="W27" s="20"/>
      <c r="X27" s="20" t="s">
        <v>239</v>
      </c>
    </row>
    <row r="28" customFormat="false" ht="15" hidden="false" customHeight="false" outlineLevel="0" collapsed="false">
      <c r="A28" s="41" t="s">
        <v>222</v>
      </c>
      <c r="B28" s="41" t="s">
        <v>108</v>
      </c>
      <c r="C28" s="41" t="s">
        <v>223</v>
      </c>
      <c r="D28" s="42"/>
      <c r="E28" s="43" t="n">
        <v>1</v>
      </c>
      <c r="F28" s="41" t="s">
        <v>70</v>
      </c>
      <c r="G28" s="41" t="s">
        <v>67</v>
      </c>
      <c r="H28" s="44" t="s">
        <v>77</v>
      </c>
      <c r="I28" s="45" t="n">
        <f aca="false">J28*IFERROR(INDEX(P_paris_outubro_2026!$C$27:$C$33,MATCH(B28,P_paris_outubro_2026!$A$27:$A$33,0)),1)</f>
        <v>40</v>
      </c>
      <c r="J28" s="46" t="n">
        <v>80</v>
      </c>
      <c r="K28" s="45" t="n">
        <f aca="false">J28</f>
        <v>80</v>
      </c>
      <c r="L28" s="15" t="n">
        <f aca="false">IF(H28="econômico",I28,IF(H28="upgrade",K28,J28))</f>
        <v>80</v>
      </c>
      <c r="M28" s="6" t="n">
        <f aca="false">E28*IF(OR(F28="pessoa",F28="pessoa-noite"),P_paris_outubro_2026!$B$8,1)</f>
        <v>1</v>
      </c>
      <c r="N28" s="40" t="n">
        <f aca="false">IFERROR(INDEX(P_paris_outubro_2026!$B$22:$B$22,MATCH(G28,P_paris_outubro_2026!$A$22:$A$22,0)),1)*(1+IF(G28=P_paris_outubro_2026!$B$9,0,P_paris_outubro_2026!$B$14))</f>
        <v>1</v>
      </c>
      <c r="O28" s="10" t="n">
        <f aca="false">M28*I28*N28</f>
        <v>40</v>
      </c>
      <c r="P28" s="10" t="n">
        <f aca="false">M28*J28*N28</f>
        <v>80</v>
      </c>
      <c r="Q28" s="10" t="n">
        <f aca="false">M28*K28*N28</f>
        <v>80</v>
      </c>
      <c r="R28" s="15" t="n">
        <f aca="false">M28*L28*N28</f>
        <v>80</v>
      </c>
      <c r="S28" s="21" t="str">
        <f aca="false">IFERROR(INDEX(P_paris_outubro_2026!$D$27:$D$33,MATCH(B28,P_paris_outubro_2026!$A$27:$A$33,0)),"não")</f>
        <v>não</v>
      </c>
      <c r="T28" s="37"/>
      <c r="V28" s="20"/>
      <c r="W28" s="20"/>
      <c r="X28" s="20" t="s">
        <v>240</v>
      </c>
    </row>
    <row r="30" customFormat="false" ht="15" hidden="false" customHeight="false" outlineLevel="0" collapsed="false">
      <c r="C30" s="8" t="s">
        <v>224</v>
      </c>
    </row>
    <row r="31" customFormat="false" ht="15" hidden="false" customHeight="false" outlineLevel="0" collapsed="false">
      <c r="C31" s="20" t="s">
        <v>225</v>
      </c>
    </row>
    <row r="32" customFormat="false" ht="15" hidden="false" customHeight="false" outlineLevel="0" collapsed="false">
      <c r="C32" s="20" t="s">
        <v>226</v>
      </c>
    </row>
    <row r="33" customFormat="false" ht="15" hidden="false" customHeight="false" outlineLevel="0" collapsed="false">
      <c r="C33" s="20" t="s">
        <v>227</v>
      </c>
    </row>
    <row r="34" customFormat="false" ht="15" hidden="false" customHeight="false" outlineLevel="0" collapsed="false">
      <c r="C34" s="20" t="s">
        <v>228</v>
      </c>
    </row>
    <row r="35" customFormat="false" ht="15" hidden="false" customHeight="false" outlineLevel="0" collapsed="false">
      <c r="C35" s="20" t="s">
        <v>229</v>
      </c>
    </row>
    <row r="36" customFormat="false" ht="15" hidden="false" customHeight="false" outlineLevel="0" collapsed="false">
      <c r="C36" s="20" t="s">
        <v>230</v>
      </c>
    </row>
  </sheetData>
  <autoFilter ref="A1:X28"/>
  <dataValidations count="3">
    <dataValidation allowBlank="false" errorStyle="stop" operator="between" showDropDown="false" showErrorMessage="false" showInputMessage="false" sqref="F2:F229" type="list">
      <formula1>"pessoa,total,noite,pessoa-noite"</formula1>
      <formula2>0</formula2>
    </dataValidation>
    <dataValidation allowBlank="false" errorStyle="stop" operator="between" showDropDown="false" showErrorMessage="false" showInputMessage="false" sqref="B2:B229" type="list">
      <formula1>P_paris_outubro_2026!$A$27:$A$33</formula1>
      <formula2>0</formula2>
    </dataValidation>
    <dataValidation allowBlank="false" errorStyle="stop" operator="between" showDropDown="false" showErrorMessage="false" showInputMessage="false" sqref="H2:H229" type="list">
      <formula1>"econômico,plano,upgrade"</formula1>
      <formula2>0</formula2>
    </dataValidation>
  </dataValidations>
  <hyperlinks>
    <hyperlink ref="U2" r:id="rId2" display="transavia.com"/>
    <hyperlink ref="U3" r:id="rId3" display="transavia.com"/>
    <hyperlink ref="U4" r:id="rId4" display="all.accor.com"/>
    <hyperlink ref="U5" r:id="rId5" display="hotel-bb.com"/>
    <hyperlink ref="U10" r:id="rId6" display="bouillon-chartier.com"/>
    <hyperlink ref="U16" r:id="rId7" display="marchedaligre.fr"/>
    <hyperlink ref="U18" r:id="rId8" display="bonjour-ratp.fr"/>
    <hyperlink ref="U19" r:id="rId9" display="bonjour-ratp.fr"/>
    <hyperlink ref="U20" r:id="rId10" display="bonjour-ratp.fr"/>
    <hyperlink ref="U21" r:id="rId11" display="sainte-chapelle.fr"/>
    <hyperlink ref="U22" r:id="rId12" display="disneylandparis.com"/>
    <hyperlink ref="U23" r:id="rId13" display="toureiffel.paris"/>
    <hyperlink ref="U24" r:id="rId14" display="louvre.fr"/>
    <hyperlink ref="U25" r:id="rId15" display="musee-orangerie.fr"/>
    <hyperlink ref="U26" r:id="rId16" display="musee-orsay.f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2026-09-12T20:18:11Z</dcterms:created>
  <dc:creator>openpyxl</dc:creator>
  <dc:description/>
  <dc:language>en-US</dc:language>
  <cp:lastModifiedBy/>
  <dcterms:modified xsi:type="dcterms:W3CDTF">2026-09-12T20:18:14Z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